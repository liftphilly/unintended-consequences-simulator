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igarmehta/Desktop/BIRT/Presentation/FINAL/Sent to Andy/"/>
    </mc:Choice>
  </mc:AlternateContent>
  <xr:revisionPtr revIDLastSave="0" documentId="13_ncr:1_{6329E146-BBB6-4644-9F7C-04C8C7167F15}" xr6:coauthVersionLast="47" xr6:coauthVersionMax="47" xr10:uidLastSave="{00000000-0000-0000-0000-000000000000}"/>
  <bookViews>
    <workbookView xWindow="0" yWindow="2460" windowWidth="30240" windowHeight="13740" xr2:uid="{00000000-000D-0000-FFFF-FFFF00000000}"/>
  </bookViews>
  <sheets>
    <sheet name="Instructions" sheetId="1" r:id="rId1"/>
    <sheet name="Assumptions" sheetId="2" r:id="rId2"/>
    <sheet name="Compare" sheetId="6" r:id="rId3"/>
    <sheet name="SCorp" sheetId="4" r:id="rId4"/>
    <sheet name="LLC_Individual" sheetId="5" r:id="rId5"/>
    <sheet name="Source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B6" i="5"/>
  <c r="B9" i="5"/>
  <c r="B9" i="4"/>
  <c r="B5" i="5"/>
  <c r="B6" i="4"/>
  <c r="B5" i="4"/>
  <c r="B25" i="4" s="1"/>
  <c r="B7" i="4"/>
  <c r="B8" i="4" s="1"/>
  <c r="B39" i="5"/>
  <c r="B45" i="4"/>
  <c r="B39" i="4"/>
  <c r="B38" i="4"/>
  <c r="B37" i="4"/>
  <c r="B36" i="4"/>
  <c r="B34" i="4"/>
  <c r="B73" i="4" s="1"/>
  <c r="B31" i="4"/>
  <c r="B22" i="4"/>
  <c r="B21" i="4"/>
  <c r="J39" i="2"/>
  <c r="J40" i="2" s="1"/>
  <c r="J41" i="2" s="1"/>
  <c r="J42" i="2" s="1"/>
  <c r="J43" i="2" s="1"/>
  <c r="J44" i="2" s="1"/>
  <c r="B19" i="5" l="1"/>
  <c r="B79" i="4"/>
  <c r="B20" i="4"/>
  <c r="B43" i="4" s="1"/>
  <c r="B23" i="4"/>
  <c r="B24" i="4" s="1"/>
  <c r="B32" i="4" s="1"/>
  <c r="B40" i="4"/>
  <c r="B75" i="4" s="1"/>
  <c r="B9" i="6" s="1"/>
  <c r="C6" i="6" l="1"/>
  <c r="B20" i="5"/>
  <c r="B35" i="5" l="1"/>
  <c r="B23" i="5"/>
  <c r="B26" i="5" s="1"/>
  <c r="B31" i="5"/>
  <c r="B32" i="5"/>
  <c r="B67" i="5" s="1"/>
  <c r="C8" i="6" s="1"/>
  <c r="B41" i="5" l="1"/>
  <c r="B66" i="5"/>
  <c r="B25" i="5"/>
  <c r="B24" i="5"/>
  <c r="B27" i="5" s="1"/>
  <c r="B68" i="5" l="1"/>
  <c r="C9" i="6" s="1"/>
  <c r="D9" i="6" s="1"/>
  <c r="B28" i="5"/>
  <c r="C7" i="6"/>
  <c r="B36" i="5" l="1"/>
  <c r="B37" i="5" l="1"/>
  <c r="B7" i="5" s="1"/>
  <c r="B8" i="5" s="1"/>
  <c r="B38" i="5" s="1"/>
  <c r="B40" i="5" s="1"/>
  <c r="B42" i="5" l="1"/>
  <c r="B43" i="5" s="1"/>
  <c r="B44" i="5" s="1"/>
  <c r="B45" i="5" s="1"/>
  <c r="B46" i="5" s="1"/>
  <c r="B48" i="5" s="1"/>
  <c r="B72" i="5"/>
  <c r="B47" i="5"/>
  <c r="B49" i="5" l="1"/>
  <c r="B50" i="5" s="1"/>
  <c r="B51" i="5" l="1"/>
  <c r="E59" i="5" s="1"/>
  <c r="F59" i="5" s="1"/>
  <c r="E61" i="5" l="1"/>
  <c r="F61" i="5" s="1"/>
  <c r="E58" i="5"/>
  <c r="F58" i="5" s="1"/>
  <c r="E56" i="5"/>
  <c r="F56" i="5" s="1"/>
  <c r="E60" i="5"/>
  <c r="F60" i="5" s="1"/>
  <c r="E57" i="5"/>
  <c r="F57" i="5" s="1"/>
  <c r="E55" i="5"/>
  <c r="F55" i="5" s="1"/>
  <c r="F62" i="5" l="1"/>
  <c r="B69" i="5" s="1"/>
  <c r="C10" i="6" l="1"/>
  <c r="B70" i="5"/>
  <c r="B71" i="5" s="1"/>
  <c r="C11" i="6" l="1"/>
  <c r="B73" i="5"/>
  <c r="C13" i="6" s="1"/>
  <c r="C12" i="6"/>
  <c r="B26" i="4" l="1"/>
  <c r="B27" i="4" s="1"/>
  <c r="B71" i="4" l="1"/>
  <c r="B6" i="6" s="1"/>
  <c r="D6" i="6" s="1"/>
  <c r="B28" i="4"/>
  <c r="B53" i="4" s="1"/>
  <c r="B33" i="4"/>
  <c r="B44" i="4" l="1"/>
  <c r="B46" i="4" s="1"/>
  <c r="B48" i="4" s="1"/>
  <c r="B35" i="4"/>
  <c r="B74" i="4" s="1"/>
  <c r="B8" i="6" s="1"/>
  <c r="D8" i="6" s="1"/>
  <c r="B47" i="4"/>
  <c r="B72" i="4"/>
  <c r="B49" i="4" l="1"/>
  <c r="B50" i="4" s="1"/>
  <c r="B51" i="4" s="1"/>
  <c r="B52" i="4" s="1"/>
  <c r="B7" i="6"/>
  <c r="D7" i="6" s="1"/>
  <c r="B54" i="4" l="1"/>
  <c r="B55" i="4" s="1"/>
  <c r="B56" i="4" s="1"/>
  <c r="B57" i="4" s="1"/>
  <c r="E65" i="4" s="1"/>
  <c r="F65" i="4" s="1"/>
  <c r="E63" i="4" l="1"/>
  <c r="F63" i="4" s="1"/>
  <c r="E62" i="4"/>
  <c r="F62" i="4" s="1"/>
  <c r="E67" i="4"/>
  <c r="F67" i="4" s="1"/>
  <c r="E61" i="4"/>
  <c r="F61" i="4" s="1"/>
  <c r="E66" i="4"/>
  <c r="F66" i="4" s="1"/>
  <c r="E64" i="4"/>
  <c r="F64" i="4" s="1"/>
  <c r="F68" i="4" l="1"/>
  <c r="B76" i="4" s="1"/>
  <c r="B77" i="4" s="1"/>
  <c r="B11" i="6" l="1"/>
  <c r="B78" i="4"/>
  <c r="B10" i="6"/>
  <c r="D10" i="6" s="1"/>
  <c r="D11" i="6" l="1"/>
  <c r="B80" i="4" l="1"/>
  <c r="B13" i="6" s="1"/>
  <c r="D13" i="6" s="1"/>
  <c r="B12" i="6"/>
  <c r="D1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tc={66072FD4-61C9-3649-A094-DED6081E2A02}</author>
    <author>tc={1BF8DE21-3BFD-F940-BE21-9B12E9333DBB}</author>
    <author>tc={C6D013DE-12ED-1A48-8143-F0A3F210388D}</author>
  </authors>
  <commentList>
    <comment ref="B9" authorId="0" shapeId="0" xr:uid="{00000000-0006-0000-0100-000001000000}">
      <text>
        <r>
          <rPr>
            <sz val="10"/>
            <color rgb="FF000000"/>
            <rFont val="Arial"/>
            <family val="2"/>
          </rPr>
          <t>Source: https://www.irs.gov/newsroom/irs-releases-tax-inflation-adjustments-for-tax-year-2026-including-amendments-from-the-one-big-beautiful-bill</t>
        </r>
      </text>
    </comment>
    <comment ref="B10" authorId="0" shapeId="0" xr:uid="{00000000-0006-0000-0100-000002000000}">
      <text>
        <r>
          <rPr>
            <sz val="10"/>
            <color rgb="FF000000"/>
            <rFont val="Arial"/>
            <family val="2"/>
          </rPr>
          <t>Source: https://www.pa.gov/agencies/revenue/resources/tax-types-and-information/personal-income-tax</t>
        </r>
      </text>
    </comment>
    <comment ref="B11" authorId="0" shapeId="0" xr:uid="{00000000-0006-0000-0100-000003000000}">
      <text>
        <r>
          <rPr>
            <sz val="10"/>
            <color rgb="FF000000"/>
            <rFont val="Arial"/>
            <family val="2"/>
          </rPr>
          <t>Source: https://www.phila.gov/services/payments-assistance-taxes/taxes/business-taxes/business-taxes-by-type/wage-tax-employers/</t>
        </r>
      </text>
    </comment>
    <comment ref="B12" authorId="0" shapeId="0" xr:uid="{00000000-0006-0000-0100-000004000000}">
      <text>
        <r>
          <rPr>
            <sz val="10"/>
            <rFont val="Arial"/>
            <family val="2"/>
          </rPr>
          <t>Source: https://www.phila.gov/services/payments-assistance-taxes/taxes/business-taxes/business-taxes-by-type/net-profits-tax/</t>
        </r>
      </text>
    </comment>
    <comment ref="B14" authorId="0" shapeId="0" xr:uid="{00000000-0006-0000-0100-000005000000}">
      <text>
        <r>
          <rPr>
            <sz val="10"/>
            <rFont val="Arial"/>
            <family val="2"/>
          </rPr>
          <t>Source: https://tax.thomsonreuters.com/en/glossary/salt-deduction</t>
        </r>
      </text>
    </comment>
    <comment ref="B15" authorId="0" shapeId="0" xr:uid="{00000000-0006-0000-0100-000006000000}">
      <text>
        <r>
          <rPr>
            <sz val="10"/>
            <rFont val="Arial"/>
            <family val="2"/>
          </rPr>
          <t>Source: https://bipartisanpolicy.org/article/how-would-the-2025-house-tax-bill-change-the-salt-deduction/</t>
        </r>
      </text>
    </comment>
    <comment ref="B16" authorId="0" shapeId="0" xr:uid="{00000000-0006-0000-0100-000007000000}">
      <text>
        <r>
          <rPr>
            <sz val="10"/>
            <color rgb="FF000000"/>
            <rFont val="Arial"/>
            <family val="2"/>
          </rPr>
          <t>Source: https://tax.thomsonreuters.com/en/glossary/salt-deduction</t>
        </r>
      </text>
    </comment>
    <comment ref="B28" authorId="0" shapeId="0" xr:uid="{00000000-0006-0000-0100-000008000000}">
      <text>
        <r>
          <rPr>
            <sz val="10"/>
            <color rgb="FF000000"/>
            <rFont val="Arial"/>
            <family val="2"/>
          </rPr>
          <t>Source: https://www.phila.gov/services/payments-assistance-taxes/taxes/business-taxes/business-taxes-by-type/business-income-receipts-tax-birt/</t>
        </r>
      </text>
    </comment>
    <comment ref="B29" authorId="0" shapeId="0" xr:uid="{00000000-0006-0000-0100-000009000000}">
      <text>
        <r>
          <rPr>
            <sz val="10"/>
            <color rgb="FF000000"/>
            <rFont val="Arial"/>
            <family val="2"/>
          </rPr>
          <t>Source: https://www.phila.gov/services/payments-assistance-taxes/taxes/business-taxes/business-taxes-by-type/business-income-receipts-tax-birt/</t>
        </r>
      </text>
    </comment>
    <comment ref="B30" authorId="1" shapeId="0" xr:uid="{66072FD4-61C9-3649-A094-DED6081E2A0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https://www.irs.gov/newsroom/401k-limit-increases-to-24500-for-2026-ira-limit-increases-to-7500</t>
      </text>
    </comment>
    <comment ref="F30" authorId="2" shapeId="0" xr:uid="{1BF8DE21-3BFD-F940-BE21-9B12E9333DB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https://www.irs.gov/newsroom/401k-limit-increases-to-24500-for-2026-ira-limit-increases-to-7500</t>
      </text>
    </comment>
    <comment ref="B31" authorId="3" shapeId="0" xr:uid="{C6D013DE-12ED-1A48-8143-F0A3F210388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https://www.irs.gov/newsroom/401k-limit-increases-to-24500-for-2026-ira-limit-increases-to-7500</t>
      </text>
    </comment>
  </commentList>
</comments>
</file>

<file path=xl/sharedStrings.xml><?xml version="1.0" encoding="utf-8"?>
<sst xmlns="http://schemas.openxmlformats.org/spreadsheetml/2006/main" count="328" uniqueCount="219">
  <si>
    <t>Philadelphia S-Corp vs LLC Tax Model</t>
  </si>
  <si>
    <t>Planning model for a single Philadelphia resident owner. Blue/yellow cells are editable inputs.</t>
  </si>
  <si>
    <t>How to use</t>
  </si>
  <si>
    <t>1. Review the Assumptions sheet first.</t>
  </si>
  <si>
    <t>2. Enter your facts on the SCorp and LLC_Individual sheets in blue/yellow cells only.</t>
  </si>
  <si>
    <t>3. The model keeps business-level deductions separate from owner-level taxes.</t>
  </si>
  <si>
    <t>4. BIRT is modeled as a business-level cost; PA PIT, Wage Tax, and NPT are modeled at the owner level.</t>
  </si>
  <si>
    <t>5. Federal tax is estimated using 2026 single brackets and a simplified QBI calculation.</t>
  </si>
  <si>
    <t>6. This workbook is for planning only and is not a filing-ready tax return.</t>
  </si>
  <si>
    <t>Color key</t>
  </si>
  <si>
    <t>• Blue font on yellow fill = user input</t>
  </si>
  <si>
    <t>• Black font = formula / calculation</t>
  </si>
  <si>
    <t>• Teal fill = key output</t>
  </si>
  <si>
    <t>Important simplifications</t>
  </si>
  <si>
    <t>• Single filer only.</t>
  </si>
  <si>
    <t>• Philadelphia resident only.</t>
  </si>
  <si>
    <t>• Simplified QBI, SALT, and Medicare treatment.</t>
  </si>
  <si>
    <t>• Does not include SSTB phaseouts, UBIA limits, or multi-state sourcing.</t>
  </si>
  <si>
    <t>Assumptions</t>
  </si>
  <si>
    <t>Review highlighted assumptions before using the structure tabs.</t>
  </si>
  <si>
    <t>Core Assumptions</t>
  </si>
  <si>
    <t>Tax Year</t>
  </si>
  <si>
    <t>Static</t>
  </si>
  <si>
    <t>Planning model uses 2026 rules.</t>
  </si>
  <si>
    <t>Federal filing status</t>
  </si>
  <si>
    <t>Single</t>
  </si>
  <si>
    <t>Model is built for 2026 single-filer brackets.</t>
  </si>
  <si>
    <t>Federal standard deduction</t>
  </si>
  <si>
    <t>Input</t>
  </si>
  <si>
    <t>Current 2026 amount.</t>
  </si>
  <si>
    <t>PA PIT rate</t>
  </si>
  <si>
    <t>PA personal income tax rate.</t>
  </si>
  <si>
    <t>Philadelphia resident Wage Tax rate</t>
  </si>
  <si>
    <t>Resident wage tax rate.</t>
  </si>
  <si>
    <t>Philadelphia resident NPT rate</t>
  </si>
  <si>
    <t>Resident net profits tax rate.</t>
  </si>
  <si>
    <t>Federal SALT cap</t>
  </si>
  <si>
    <t>2026 cap under current law.</t>
  </si>
  <si>
    <t>SALT phase-down threshold</t>
  </si>
  <si>
    <t>2026 threshold under current law.</t>
  </si>
  <si>
    <t>SALT floor</t>
  </si>
  <si>
    <t>Minimum SALT deduction after phase-down.</t>
  </si>
  <si>
    <t>QBI deduction rate</t>
  </si>
  <si>
    <t>Simplified Section 199A rate.</t>
  </si>
  <si>
    <t>SE tax adjustment factor</t>
  </si>
  <si>
    <t>Schedule SE net earnings factor.</t>
  </si>
  <si>
    <t>SE Social Security rate</t>
  </si>
  <si>
    <t>12.4% Social Security portion of SE tax.</t>
  </si>
  <si>
    <t>SE Medicare rate</t>
  </si>
  <si>
    <t>2.9% Medicare portion of SE tax.</t>
  </si>
  <si>
    <t>Employee Social Security rate</t>
  </si>
  <si>
    <t>Employee FICA Social Security withholding.</t>
  </si>
  <si>
    <t>Employee Medicare rate</t>
  </si>
  <si>
    <t>Employee Medicare withholding.</t>
  </si>
  <si>
    <t>Additional Medicare rate</t>
  </si>
  <si>
    <t>Additional Medicare rate.</t>
  </si>
  <si>
    <t>Employer Social Security rate</t>
  </si>
  <si>
    <t>Employer Social Security rate.</t>
  </si>
  <si>
    <t>Employer Medicare rate</t>
  </si>
  <si>
    <t>Employer Medicare rate.</t>
  </si>
  <si>
    <t>Social Security wage base</t>
  </si>
  <si>
    <t>Editable assumption; verify annually.</t>
  </si>
  <si>
    <t>Additional Medicare threshold</t>
  </si>
  <si>
    <t>Single-filer threshold.</t>
  </si>
  <si>
    <t>BIRT gross receipts rate</t>
  </si>
  <si>
    <t>1.410 mills on gross receipts.</t>
  </si>
  <si>
    <t>BIRT net income rate</t>
  </si>
  <si>
    <t>5.71% on taxable net income.</t>
  </si>
  <si>
    <t>QBI threshold, single</t>
  </si>
  <si>
    <t>2026 threshold amount for all other returns.</t>
  </si>
  <si>
    <t>QBI phaseout upper, single</t>
  </si>
  <si>
    <t>2026 phase-in range upper bound for all other returns.</t>
  </si>
  <si>
    <t>2026 Federal Single Brackets</t>
  </si>
  <si>
    <t>Bracket</t>
  </si>
  <si>
    <t>Lower bound</t>
  </si>
  <si>
    <t>Upper bound</t>
  </si>
  <si>
    <t>Rate</t>
  </si>
  <si>
    <t>Base tax at lower bound</t>
  </si>
  <si>
    <t>10%</t>
  </si>
  <si>
    <t>12%</t>
  </si>
  <si>
    <t>22%</t>
  </si>
  <si>
    <t>24%</t>
  </si>
  <si>
    <t>32%</t>
  </si>
  <si>
    <t>35%</t>
  </si>
  <si>
    <t>37%</t>
  </si>
  <si>
    <t>Source URLs</t>
  </si>
  <si>
    <t>Plain-text URLs used for current assumptions and notes.</t>
  </si>
  <si>
    <t>Item</t>
  </si>
  <si>
    <t>URL</t>
  </si>
  <si>
    <t>Retrieved</t>
  </si>
  <si>
    <t>Notes</t>
  </si>
  <si>
    <t>IRS 2026 inflation adjustments</t>
  </si>
  <si>
    <t>https://www.irs.gov/newsroom/irs-releases-tax-inflation-adjustments-for-tax-year-2026-including-amendments-from-the-one-big-beautiful-bill</t>
  </si>
  <si>
    <t>2026-04-06</t>
  </si>
  <si>
    <t>Standard deduction and single brackets</t>
  </si>
  <si>
    <t>PA PIT overview</t>
  </si>
  <si>
    <t>https://www.pa.gov/agencies/revenue/resources/tax-types-and-information/personal-income-tax</t>
  </si>
  <si>
    <t>PA PIT rate 3.07%</t>
  </si>
  <si>
    <t>Philadelphia Wage Tax</t>
  </si>
  <si>
    <t>https://www.phila.gov/services/payments-assistance-taxes/taxes/business-taxes/business-taxes-by-type/wage-tax-employers/</t>
  </si>
  <si>
    <t>Resident wage tax rate 3.74%</t>
  </si>
  <si>
    <t>Philadelphia NPT</t>
  </si>
  <si>
    <t>https://www.phila.gov/services/payments-assistance-taxes/taxes/business-taxes/business-taxes-by-type/net-profits-tax/</t>
  </si>
  <si>
    <t>Resident NPT rate 3.74% and LLC applicability</t>
  </si>
  <si>
    <t>Philadelphia BIRT</t>
  </si>
  <si>
    <t>https://www.phila.gov/services/payments-assistance-taxes/taxes/business-taxes/business-taxes-by-type/business-income-receipts-tax-birt/</t>
  </si>
  <si>
    <t>BIRT rates and BIRT separate from NPT</t>
  </si>
  <si>
    <t>SALT overview</t>
  </si>
  <si>
    <t>https://tax.thomsonreuters.com/en/glossary/salt-deduction</t>
  </si>
  <si>
    <t>2026 SALT cap / phase-down overview</t>
  </si>
  <si>
    <t>SALT law explainer</t>
  </si>
  <si>
    <t>https://bipartisanpolicy.org/article/how-would-the-2025-house-tax-bill-change-the-salt-deduction/</t>
  </si>
  <si>
    <t>40,400 cap and 505,000 threshold</t>
  </si>
  <si>
    <t>S-Corp Model</t>
  </si>
  <si>
    <t>Blue/yellow cells are user inputs. Model assumes one shareholder and Philadelphia resident rates.</t>
  </si>
  <si>
    <t>Inputs</t>
  </si>
  <si>
    <t>Gross revenue</t>
  </si>
  <si>
    <t>SSTB? 1=yes, 0=no</t>
  </si>
  <si>
    <t>Ordinary operating expenses</t>
  </si>
  <si>
    <t>QBI W-2 wages for limit</t>
  </si>
  <si>
    <t>Shareholder W-2 gross wages</t>
  </si>
  <si>
    <t>UBIA of qualified property</t>
  </si>
  <si>
    <t>Employee 401(k) deferral</t>
  </si>
  <si>
    <t>Net cap gain + qual dividends (for QBI cap only)</t>
  </si>
  <si>
    <t>Employer retirement contribution</t>
  </si>
  <si>
    <t>Other business adjustments</t>
  </si>
  <si>
    <t>Other ordinary income (no cap gains / qual divs)</t>
  </si>
  <si>
    <t>Other itemized deductions (non-SALT)</t>
  </si>
  <si>
    <t>Business-Level Calculation</t>
  </si>
  <si>
    <t>W-2 Box 1 wages</t>
  </si>
  <si>
    <t>Employer Social Security tax</t>
  </si>
  <si>
    <t>Employer Medicare tax</t>
  </si>
  <si>
    <t>Total employer payroll tax</t>
  </si>
  <si>
    <t>Pre-BIRT net income</t>
  </si>
  <si>
    <t>BIRT gross receipts tax</t>
  </si>
  <si>
    <t>BIRT net income tax</t>
  </si>
  <si>
    <t>Total BIRT</t>
  </si>
  <si>
    <t>Final pass-through income (K-1 ordinary)</t>
  </si>
  <si>
    <t>Owner-Level State / City / Payroll Taxes</t>
  </si>
  <si>
    <t>PA taxable wages</t>
  </si>
  <si>
    <t>PA taxable S-corp income</t>
  </si>
  <si>
    <t>PA PIT</t>
  </si>
  <si>
    <t>Employee Social Security tax</t>
  </si>
  <si>
    <t>Employee Medicare tax</t>
  </si>
  <si>
    <t>Additional Medicare tax</t>
  </si>
  <si>
    <t>Total employee payroll taxes</t>
  </si>
  <si>
    <t>Federal AGI, Deductions, QBI, and Income Tax</t>
  </si>
  <si>
    <t>K-1 ordinary income</t>
  </si>
  <si>
    <t>Other personal income</t>
  </si>
  <si>
    <t>Federal AGI before itemized / standard</t>
  </si>
  <si>
    <t>SALT paid</t>
  </si>
  <si>
    <t>Allowed SALT cap</t>
  </si>
  <si>
    <t>Allowed SALT deduction</t>
  </si>
  <si>
    <t>Itemized deductions total</t>
  </si>
  <si>
    <t>Deduction used</t>
  </si>
  <si>
    <t>Taxable income before QBI</t>
  </si>
  <si>
    <t>Raw QBI base</t>
  </si>
  <si>
    <t>QBI phase-in percentage</t>
  </si>
  <si>
    <t>Tentative QBI deduction</t>
  </si>
  <si>
    <t>QBI deduction allowed</t>
  </si>
  <si>
    <t>Final federal taxable income</t>
  </si>
  <si>
    <t>Estimated 2026 Federal Income Tax on Ordinary Income (Single)</t>
  </si>
  <si>
    <t>Taxable amount</t>
  </si>
  <si>
    <t>Tax</t>
  </si>
  <si>
    <t>Estimated federal income tax</t>
  </si>
  <si>
    <t>Summary Outputs</t>
  </si>
  <si>
    <t>Business-level tax: total BIRT</t>
  </si>
  <si>
    <t>Owner-level tax: PA PIT</t>
  </si>
  <si>
    <t>Owner-level tax: Philadelphia Wage Tax</t>
  </si>
  <si>
    <t>Owner-level tax: employee payroll taxes</t>
  </si>
  <si>
    <t>Owner-level tax: estimated federal income tax</t>
  </si>
  <si>
    <t>Estimated total owner-level tax burden</t>
  </si>
  <si>
    <t>Approx. after-tax income</t>
  </si>
  <si>
    <t>LLC Taxed as Individual Model</t>
  </si>
  <si>
    <t>Blue/yellow cells are user inputs. Model assumes a disregarded single-member LLC.</t>
  </si>
  <si>
    <t>Self-employed retirement contribution</t>
  </si>
  <si>
    <t>Final Schedule C profit</t>
  </si>
  <si>
    <t>Self-Employment Tax</t>
  </si>
  <si>
    <t>SE income subject to SE tax</t>
  </si>
  <si>
    <t>SE Social Security tax</t>
  </si>
  <si>
    <t>SE Medicare tax</t>
  </si>
  <si>
    <t>Additional Medicare tax (simplified)</t>
  </si>
  <si>
    <t>Total SE / Medicare taxes</t>
  </si>
  <si>
    <t>Deduction for 1/2 SE tax</t>
  </si>
  <si>
    <t>Owner-Level State / City Taxes</t>
  </si>
  <si>
    <t>Schedule C profit</t>
  </si>
  <si>
    <t>Less 1/2 SE tax deduction</t>
  </si>
  <si>
    <t>Less self-employed retirement</t>
  </si>
  <si>
    <t>Owner-level tax: Philadelphia NPT</t>
  </si>
  <si>
    <t>Owner-level tax: total SE / Medicare taxes</t>
  </si>
  <si>
    <t>Comparison Summary</t>
  </si>
  <si>
    <t>Compare business-level tax, owner-level taxes, and approximate after-tax income.</t>
  </si>
  <si>
    <t>Comparison</t>
  </si>
  <si>
    <t>Metric</t>
  </si>
  <si>
    <t>S-Corp</t>
  </si>
  <si>
    <t>LLC</t>
  </si>
  <si>
    <t>Difference (S-Corp - LLC)</t>
  </si>
  <si>
    <t>Business-level tax: BIRT</t>
  </si>
  <si>
    <t>• S-corp owner-level payroll taxes include employee-side payroll taxes only; employer payroll taxes are already embedded in business results.</t>
  </si>
  <si>
    <t>• QBI now includes 2026 single-filer threshold / phase-in logic, SSTB toggle, W-2 wage limit, and UBIA input.</t>
  </si>
  <si>
    <t>• Federal bracket tax assumes ordinary taxable income only. Preferential capital-gain tax rates are not modeled.</t>
  </si>
  <si>
    <t>Employee 401(k) deferral limit</t>
  </si>
  <si>
    <t>Annual additions limit</t>
  </si>
  <si>
    <t>IRS 2026</t>
  </si>
  <si>
    <t>SALT paid (PA PIT + PHILA WAGE)</t>
  </si>
  <si>
    <t>QBI</t>
  </si>
  <si>
    <t>• BIRT is treated as a business-level cost in S-Corp - BIRT is exempt for LLC</t>
  </si>
  <si>
    <t>Total Solo 401(k)</t>
  </si>
  <si>
    <t>Approx. after-tax income + retirement benefits</t>
  </si>
  <si>
    <t>Effective Self-Employed Contribution Rate</t>
  </si>
  <si>
    <t>Earned Income Before Retirement</t>
  </si>
  <si>
    <t xml:space="preserve">Philadelphia SIT _Scorp </t>
  </si>
  <si>
    <t>Resident School Tax</t>
  </si>
  <si>
    <t>Philadelphia SIT</t>
  </si>
  <si>
    <t>Owner-level tax: Philadelphia SIT</t>
  </si>
  <si>
    <t>Owner-level tax: Philadelphia tax - SIT, Wage and NPT</t>
  </si>
  <si>
    <t>Owner-level tax: Payroll / SE taxes</t>
  </si>
  <si>
    <t>Owner-level tax: Estimated federal income tax</t>
  </si>
  <si>
    <t>Estimated total owner level tax 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</si>
</sst>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\$#,##0;[Red]&quot;($&quot;#,##0\);\-"/>
    <numFmt numFmtId="165" formatCode="0.0%;[Red]\(0.0%\);\-"/>
    <numFmt numFmtId="166" formatCode="0.000%;[Red]\(0.000%\);\-"/>
    <numFmt numFmtId="167" formatCode="\$#,##0"/>
    <numFmt numFmtId="168" formatCode="\$#,##0.00"/>
    <numFmt numFmtId="169" formatCode="0.0%"/>
    <numFmt numFmtId="170" formatCode="\$#,##0;[Red]\(\$#,##0\);\-"/>
    <numFmt numFmtId="171" formatCode="0.00%;[Red]\(0.00%\);\-"/>
  </numFmts>
  <fonts count="18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4"/>
      <color rgb="FF1F4E78"/>
      <name val="Cambria"/>
      <family val="1"/>
    </font>
    <font>
      <i/>
      <sz val="10"/>
      <color rgb="FF666666"/>
      <name val="Cambria"/>
      <family val="1"/>
    </font>
    <font>
      <b/>
      <sz val="11"/>
      <name val="Cambria"/>
      <family val="1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sz val="11"/>
      <color rgb="FF808080"/>
      <name val="Cambria"/>
      <family val="1"/>
    </font>
    <font>
      <sz val="11"/>
      <color rgb="FF0000FF"/>
      <name val="Cambria"/>
      <family val="1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8"/>
      <name val="Arial"/>
      <family val="2"/>
    </font>
    <font>
      <sz val="11"/>
      <color theme="1"/>
      <name val="Cambria"/>
      <family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000000"/>
      <name val="Cambria"/>
      <family val="1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E7E6E6"/>
        <bgColor rgb="FFD9EAF2"/>
      </patternFill>
    </fill>
    <fill>
      <patternFill patternType="solid">
        <fgColor rgb="FFD9EAF2"/>
        <bgColor rgb="FFE7E6E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43" fontId="14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1" fillId="0" borderId="2" xfId="1" applyBorder="1" applyAlignment="1">
      <alignment horizontal="left" vertical="center"/>
    </xf>
    <xf numFmtId="0" fontId="7" fillId="0" borderId="0" xfId="1" applyFont="1"/>
    <xf numFmtId="0" fontId="7" fillId="0" borderId="2" xfId="1" applyFont="1" applyBorder="1"/>
    <xf numFmtId="0" fontId="3" fillId="0" borderId="2" xfId="1" applyFont="1" applyBorder="1" applyAlignment="1">
      <alignment vertical="top" wrapText="1"/>
    </xf>
    <xf numFmtId="164" fontId="8" fillId="3" borderId="2" xfId="1" applyNumberFormat="1" applyFont="1" applyFill="1" applyBorder="1" applyAlignment="1">
      <alignment horizontal="right" vertical="center"/>
    </xf>
    <xf numFmtId="165" fontId="8" fillId="3" borderId="2" xfId="1" applyNumberFormat="1" applyFont="1" applyFill="1" applyBorder="1" applyAlignment="1">
      <alignment horizontal="right" vertical="center"/>
    </xf>
    <xf numFmtId="0" fontId="1" fillId="0" borderId="2" xfId="1" applyBorder="1" applyAlignment="1">
      <alignment vertical="top" wrapText="1"/>
    </xf>
    <xf numFmtId="166" fontId="8" fillId="3" borderId="2" xfId="1" applyNumberFormat="1" applyFont="1" applyFill="1" applyBorder="1" applyAlignment="1">
      <alignment horizontal="right" vertical="center"/>
    </xf>
    <xf numFmtId="167" fontId="8" fillId="3" borderId="2" xfId="1" applyNumberFormat="1" applyFont="1" applyFill="1" applyBorder="1" applyAlignment="1">
      <alignment horizontal="right" vertical="center"/>
    </xf>
    <xf numFmtId="0" fontId="8" fillId="3" borderId="2" xfId="1" applyFont="1" applyFill="1" applyBorder="1" applyAlignment="1">
      <alignment horizontal="right" vertical="center"/>
    </xf>
    <xf numFmtId="0" fontId="1" fillId="0" borderId="0" xfId="1" applyAlignment="1">
      <alignment horizontal="left" vertical="center"/>
    </xf>
    <xf numFmtId="0" fontId="4" fillId="4" borderId="0" xfId="1" applyFont="1" applyFill="1" applyAlignment="1">
      <alignment horizontal="center" vertical="center"/>
    </xf>
    <xf numFmtId="164" fontId="1" fillId="0" borderId="0" xfId="1" applyNumberFormat="1"/>
    <xf numFmtId="165" fontId="1" fillId="0" borderId="0" xfId="1" applyNumberFormat="1"/>
    <xf numFmtId="164" fontId="5" fillId="0" borderId="0" xfId="1" applyNumberFormat="1" applyFont="1" applyAlignment="1">
      <alignment horizontal="right" vertical="center"/>
    </xf>
    <xf numFmtId="0" fontId="4" fillId="4" borderId="0" xfId="1" applyFont="1" applyFill="1" applyAlignment="1">
      <alignment horizontal="left" vertical="center"/>
    </xf>
    <xf numFmtId="0" fontId="4" fillId="4" borderId="0" xfId="1" applyFont="1" applyFill="1"/>
    <xf numFmtId="0" fontId="1" fillId="0" borderId="2" xfId="1" applyBorder="1" applyAlignment="1">
      <alignment horizontal="left" vertical="center" wrapText="1"/>
    </xf>
    <xf numFmtId="1" fontId="8" fillId="3" borderId="2" xfId="1" applyNumberFormat="1" applyFont="1" applyFill="1" applyBorder="1" applyAlignment="1">
      <alignment horizontal="right" vertical="center"/>
    </xf>
    <xf numFmtId="164" fontId="5" fillId="0" borderId="2" xfId="1" applyNumberFormat="1" applyFont="1" applyBorder="1" applyAlignment="1">
      <alignment horizontal="right" vertical="center"/>
    </xf>
    <xf numFmtId="168" fontId="5" fillId="0" borderId="2" xfId="1" applyNumberFormat="1" applyFont="1" applyBorder="1" applyAlignment="1">
      <alignment horizontal="right" vertical="center"/>
    </xf>
    <xf numFmtId="169" fontId="5" fillId="0" borderId="2" xfId="1" applyNumberFormat="1" applyFont="1" applyBorder="1" applyAlignment="1">
      <alignment horizontal="right" vertical="center"/>
    </xf>
    <xf numFmtId="0" fontId="4" fillId="0" borderId="0" xfId="1" applyFont="1"/>
    <xf numFmtId="164" fontId="4" fillId="5" borderId="0" xfId="1" applyNumberFormat="1" applyFont="1" applyFill="1" applyAlignment="1">
      <alignment horizontal="right" vertical="center"/>
    </xf>
    <xf numFmtId="0" fontId="4" fillId="0" borderId="2" xfId="1" applyFont="1" applyBorder="1" applyAlignment="1">
      <alignment vertical="top" wrapText="1"/>
    </xf>
    <xf numFmtId="0" fontId="4" fillId="0" borderId="2" xfId="1" applyFont="1" applyBorder="1" applyAlignment="1">
      <alignment horizontal="left" vertical="center"/>
    </xf>
    <xf numFmtId="0" fontId="4" fillId="5" borderId="0" xfId="1" applyFont="1" applyFill="1"/>
    <xf numFmtId="0" fontId="1" fillId="0" borderId="0" xfId="1" applyAlignment="1">
      <alignment vertical="top" wrapText="1"/>
    </xf>
    <xf numFmtId="0" fontId="10" fillId="0" borderId="3" xfId="0" applyFont="1" applyBorder="1"/>
    <xf numFmtId="170" fontId="11" fillId="6" borderId="2" xfId="0" applyNumberFormat="1" applyFont="1" applyFill="1" applyBorder="1" applyAlignment="1">
      <alignment horizontal="right" vertical="center"/>
    </xf>
    <xf numFmtId="167" fontId="5" fillId="0" borderId="2" xfId="1" applyNumberFormat="1" applyFont="1" applyBorder="1" applyAlignment="1">
      <alignment horizontal="right" vertical="center"/>
    </xf>
    <xf numFmtId="164" fontId="13" fillId="0" borderId="2" xfId="1" applyNumberFormat="1" applyFont="1" applyBorder="1" applyAlignment="1">
      <alignment horizontal="right" vertical="center"/>
    </xf>
    <xf numFmtId="1" fontId="13" fillId="0" borderId="2" xfId="1" applyNumberFormat="1" applyFont="1" applyBorder="1" applyAlignment="1">
      <alignment horizontal="right" vertical="center"/>
    </xf>
    <xf numFmtId="171" fontId="8" fillId="3" borderId="2" xfId="1" applyNumberFormat="1" applyFont="1" applyFill="1" applyBorder="1" applyAlignment="1">
      <alignment horizontal="right" vertical="center"/>
    </xf>
    <xf numFmtId="0" fontId="15" fillId="0" borderId="2" xfId="1" applyFont="1" applyBorder="1" applyAlignment="1">
      <alignment horizontal="left" vertical="center"/>
    </xf>
    <xf numFmtId="164" fontId="16" fillId="0" borderId="2" xfId="1" applyNumberFormat="1" applyFont="1" applyBorder="1" applyAlignment="1">
      <alignment horizontal="right" vertical="center"/>
    </xf>
    <xf numFmtId="0" fontId="7" fillId="0" borderId="2" xfId="2" applyNumberFormat="1" applyFont="1" applyBorder="1"/>
    <xf numFmtId="0" fontId="6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vertical="top" wrapText="1"/>
    </xf>
  </cellXfs>
  <cellStyles count="3">
    <cellStyle name="Comma" xfId="2" builtinId="3"/>
    <cellStyle name="Normal" xfId="0" builtinId="0"/>
    <cellStyle name="Normal 2" xfId="1" xr:uid="{00000000-0005-0000-0000-000006000000}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enAI" id="{25948642-38E4-974B-A959-6FD1A5588F6D}" userId="" providerId="google-sheets"/>
</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6-04-01T18:06:28.00" personId="{25948642-38E4-974B-A959-6FD1A5588F6D}" id="{66072FD4-61C9-3649-A094-DED6081E2A02}">
    <text>https://www.irs.gov/newsroom/401k-limit-increases-to-24500-for-2026-ira-limit-increases-to-7500</text>
    <extLst>
      <x:ext xmlns:xltc2="http://schemas.microsoft.com/office/spreadsheetml/2020/threadedcomments2" uri="{F7C98A9C-CBB3-438F-8F68-D28B6AF4A901}">
        <xltc2:checksum>540771710</xltc2:checksum>
        <xltc2:hyperlink startIndex="0" length="95" url="https://www.irs.gov/newsroom/401k-limit-increases-to-24500-for-2026-ira-limit-increases-to-7500"/>
      </x:ext>
    </extLst>
  </threadedComment>
  <threadedComment ref="F30" dT="2026-04-01T18:06:28.00" personId="{25948642-38E4-974B-A959-6FD1A5588F6D}" id="{1BF8DE21-3BFD-F940-BE21-9B12E9333DBB}">
    <text>https://www.irs.gov/newsroom/401k-limit-increases-to-24500-for-2026-ira-limit-increases-to-7500</text>
    <extLst>
      <x:ext xmlns:xltc2="http://schemas.microsoft.com/office/spreadsheetml/2020/threadedcomments2" uri="{F7C98A9C-CBB3-438F-8F68-D28B6AF4A901}">
        <xltc2:checksum>540771710</xltc2:checksum>
        <xltc2:hyperlink startIndex="0" length="95" url="https://www.irs.gov/newsroom/401k-limit-increases-to-24500-for-2026-ira-limit-increases-to-7500"/>
      </x:ext>
    </extLst>
  </threadedComment>
  <threadedComment ref="B31" dT="2026-04-01T18:06:28.00" personId="{25948642-38E4-974B-A959-6FD1A5588F6D}" id="{C6D013DE-12ED-1A48-8143-F0A3F210388D}">
    <text>https://www.irs.gov/newsroom/401k-limit-increases-to-24500-for-2026-ira-limit-increases-to-7500</text>
    <extLst>
      <x:ext xmlns:xltc2="http://schemas.microsoft.com/office/spreadsheetml/2020/threadedcomments2" uri="{F7C98A9C-CBB3-438F-8F68-D28B6AF4A901}">
        <xltc2:checksum>540771710</xltc2:checksum>
        <xltc2:hyperlink startIndex="0" length="95" url="https://www.irs.gov/newsroom/401k-limit-increases-to-24500-for-2026-ira-limit-increases-to-7500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abSelected="1" zoomScaleNormal="100" workbookViewId="0"/>
  </sheetViews>
  <sheetFormatPr baseColWidth="10" defaultColWidth="8.6640625" defaultRowHeight="15" customHeight="1" x14ac:dyDescent="0.15"/>
  <cols>
    <col min="1" max="1" width="110" customWidth="1"/>
  </cols>
  <sheetData>
    <row r="1" spans="1:1" ht="18.75" customHeight="1" x14ac:dyDescent="0.2">
      <c r="A1" s="1" t="s">
        <v>0</v>
      </c>
    </row>
    <row r="2" spans="1:1" ht="18.75" customHeight="1" x14ac:dyDescent="0.15">
      <c r="A2" s="2" t="s">
        <v>1</v>
      </c>
    </row>
    <row r="3" spans="1:1" ht="18.75" customHeight="1" x14ac:dyDescent="0.15"/>
    <row r="4" spans="1:1" ht="24" customHeight="1" x14ac:dyDescent="0.15">
      <c r="A4" s="3" t="s">
        <v>2</v>
      </c>
    </row>
    <row r="5" spans="1:1" ht="24" customHeight="1" x14ac:dyDescent="0.15">
      <c r="A5" s="4" t="s">
        <v>3</v>
      </c>
    </row>
    <row r="6" spans="1:1" ht="24" customHeight="1" x14ac:dyDescent="0.15">
      <c r="A6" s="4" t="s">
        <v>4</v>
      </c>
    </row>
    <row r="7" spans="1:1" ht="24" customHeight="1" x14ac:dyDescent="0.15">
      <c r="A7" s="4" t="s">
        <v>5</v>
      </c>
    </row>
    <row r="8" spans="1:1" ht="24" customHeight="1" x14ac:dyDescent="0.15">
      <c r="A8" s="4" t="s">
        <v>6</v>
      </c>
    </row>
    <row r="9" spans="1:1" ht="24" customHeight="1" x14ac:dyDescent="0.15">
      <c r="A9" s="4" t="s">
        <v>7</v>
      </c>
    </row>
    <row r="10" spans="1:1" ht="24" customHeight="1" x14ac:dyDescent="0.15">
      <c r="A10" s="4" t="s">
        <v>8</v>
      </c>
    </row>
    <row r="11" spans="1:1" ht="24" customHeight="1" x14ac:dyDescent="0.15">
      <c r="A11" s="4"/>
    </row>
    <row r="12" spans="1:1" ht="24" customHeight="1" x14ac:dyDescent="0.15">
      <c r="A12" s="3" t="s">
        <v>9</v>
      </c>
    </row>
    <row r="13" spans="1:1" ht="24" customHeight="1" x14ac:dyDescent="0.15">
      <c r="A13" s="4" t="s">
        <v>10</v>
      </c>
    </row>
    <row r="14" spans="1:1" ht="24" customHeight="1" x14ac:dyDescent="0.15">
      <c r="A14" s="4" t="s">
        <v>11</v>
      </c>
    </row>
    <row r="15" spans="1:1" ht="24" customHeight="1" x14ac:dyDescent="0.15">
      <c r="A15" s="4" t="s">
        <v>12</v>
      </c>
    </row>
    <row r="16" spans="1:1" ht="24" customHeight="1" x14ac:dyDescent="0.15">
      <c r="A16" s="4"/>
    </row>
    <row r="17" spans="1:1" ht="24" customHeight="1" x14ac:dyDescent="0.15">
      <c r="A17" s="3" t="s">
        <v>13</v>
      </c>
    </row>
    <row r="18" spans="1:1" ht="24" customHeight="1" x14ac:dyDescent="0.15">
      <c r="A18" s="4" t="s">
        <v>14</v>
      </c>
    </row>
    <row r="19" spans="1:1" ht="18.75" customHeight="1" x14ac:dyDescent="0.15">
      <c r="A19" s="4" t="s">
        <v>15</v>
      </c>
    </row>
    <row r="20" spans="1:1" ht="18.75" customHeight="1" x14ac:dyDescent="0.15">
      <c r="A20" s="4" t="s">
        <v>16</v>
      </c>
    </row>
    <row r="21" spans="1:1" ht="18.75" customHeight="1" x14ac:dyDescent="0.15">
      <c r="A21" s="4" t="s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zoomScaleNormal="100" workbookViewId="0">
      <selection activeCell="B34" sqref="B34"/>
    </sheetView>
  </sheetViews>
  <sheetFormatPr baseColWidth="10" defaultColWidth="8.6640625" defaultRowHeight="15" customHeight="1" x14ac:dyDescent="0.15"/>
  <cols>
    <col min="1" max="1" width="34" customWidth="1"/>
    <col min="2" max="2" width="16" customWidth="1"/>
    <col min="3" max="3" width="14" customWidth="1"/>
    <col min="4" max="4" width="54" customWidth="1"/>
    <col min="6" max="6" width="12" customWidth="1"/>
    <col min="7" max="7" width="14" customWidth="1"/>
    <col min="8" max="8" width="17.33203125" bestFit="1" customWidth="1"/>
    <col min="9" max="9" width="12" customWidth="1"/>
    <col min="10" max="10" width="18" customWidth="1"/>
  </cols>
  <sheetData>
    <row r="1" spans="1:4" ht="18.75" customHeight="1" x14ac:dyDescent="0.2">
      <c r="A1" s="1" t="s">
        <v>18</v>
      </c>
    </row>
    <row r="2" spans="1:4" ht="18.75" customHeight="1" x14ac:dyDescent="0.15">
      <c r="A2" s="2" t="s">
        <v>19</v>
      </c>
    </row>
    <row r="3" spans="1:4" ht="18.75" customHeight="1" x14ac:dyDescent="0.15"/>
    <row r="4" spans="1:4" ht="18.75" customHeight="1" x14ac:dyDescent="0.15">
      <c r="A4" s="42" t="s">
        <v>20</v>
      </c>
      <c r="B4" s="42"/>
      <c r="C4" s="42"/>
      <c r="D4" s="42"/>
    </row>
    <row r="5" spans="1:4" ht="18.75" customHeight="1" x14ac:dyDescent="0.15">
      <c r="A5" s="5" t="s">
        <v>21</v>
      </c>
      <c r="B5" s="41">
        <v>2026</v>
      </c>
      <c r="C5" s="6" t="s">
        <v>22</v>
      </c>
      <c r="D5" s="2" t="s">
        <v>23</v>
      </c>
    </row>
    <row r="6" spans="1:4" ht="18.75" customHeight="1" x14ac:dyDescent="0.15">
      <c r="A6" s="5" t="s">
        <v>24</v>
      </c>
      <c r="B6" s="7" t="s">
        <v>25</v>
      </c>
      <c r="C6" s="7" t="s">
        <v>22</v>
      </c>
      <c r="D6" s="8" t="s">
        <v>26</v>
      </c>
    </row>
    <row r="7" spans="1:4" ht="18.75" customHeight="1" x14ac:dyDescent="0.15">
      <c r="A7" s="5" t="s">
        <v>116</v>
      </c>
      <c r="B7" s="9">
        <v>1000000</v>
      </c>
      <c r="C7" s="7" t="s">
        <v>28</v>
      </c>
      <c r="D7" s="8" t="s">
        <v>29</v>
      </c>
    </row>
    <row r="8" spans="1:4" ht="18.75" customHeight="1" x14ac:dyDescent="0.15">
      <c r="A8" s="5" t="s">
        <v>118</v>
      </c>
      <c r="B8" s="9">
        <v>600000</v>
      </c>
      <c r="C8" s="7" t="s">
        <v>28</v>
      </c>
      <c r="D8" s="8" t="s">
        <v>29</v>
      </c>
    </row>
    <row r="9" spans="1:4" ht="18.75" customHeight="1" x14ac:dyDescent="0.15">
      <c r="A9" s="5" t="s">
        <v>27</v>
      </c>
      <c r="B9" s="9">
        <v>16100</v>
      </c>
      <c r="C9" s="7" t="s">
        <v>28</v>
      </c>
      <c r="D9" s="8" t="s">
        <v>29</v>
      </c>
    </row>
    <row r="10" spans="1:4" ht="18.75" customHeight="1" x14ac:dyDescent="0.15">
      <c r="A10" s="5" t="s">
        <v>30</v>
      </c>
      <c r="B10" s="38">
        <v>3.0700000000000002E-2</v>
      </c>
      <c r="C10" s="7" t="s">
        <v>28</v>
      </c>
      <c r="D10" s="8" t="s">
        <v>31</v>
      </c>
    </row>
    <row r="11" spans="1:4" ht="18.75" customHeight="1" x14ac:dyDescent="0.15">
      <c r="A11" s="11" t="s">
        <v>32</v>
      </c>
      <c r="B11" s="38">
        <v>3.7400000000000003E-2</v>
      </c>
      <c r="C11" s="7" t="s">
        <v>28</v>
      </c>
      <c r="D11" s="8" t="s">
        <v>33</v>
      </c>
    </row>
    <row r="12" spans="1:4" ht="18.75" customHeight="1" x14ac:dyDescent="0.15">
      <c r="A12" s="5" t="s">
        <v>34</v>
      </c>
      <c r="B12" s="38">
        <v>3.7400000000000003E-2</v>
      </c>
      <c r="C12" s="7" t="s">
        <v>28</v>
      </c>
      <c r="D12" s="8" t="s">
        <v>35</v>
      </c>
    </row>
    <row r="13" spans="1:4" ht="18.75" customHeight="1" x14ac:dyDescent="0.15">
      <c r="A13" s="5" t="s">
        <v>211</v>
      </c>
      <c r="B13" s="38">
        <v>3.7400000000000003E-2</v>
      </c>
      <c r="C13" s="7" t="s">
        <v>28</v>
      </c>
      <c r="D13" s="8" t="s">
        <v>212</v>
      </c>
    </row>
    <row r="14" spans="1:4" ht="18.75" customHeight="1" x14ac:dyDescent="0.15">
      <c r="A14" s="5" t="s">
        <v>36</v>
      </c>
      <c r="B14" s="9">
        <v>40400</v>
      </c>
      <c r="C14" s="7" t="s">
        <v>28</v>
      </c>
      <c r="D14" s="8" t="s">
        <v>37</v>
      </c>
    </row>
    <row r="15" spans="1:4" ht="18.75" customHeight="1" x14ac:dyDescent="0.15">
      <c r="A15" s="5" t="s">
        <v>38</v>
      </c>
      <c r="B15" s="9">
        <v>505000</v>
      </c>
      <c r="C15" s="7" t="s">
        <v>28</v>
      </c>
      <c r="D15" s="8" t="s">
        <v>39</v>
      </c>
    </row>
    <row r="16" spans="1:4" ht="18.75" customHeight="1" x14ac:dyDescent="0.15">
      <c r="A16" s="5" t="s">
        <v>40</v>
      </c>
      <c r="B16" s="9">
        <v>10000</v>
      </c>
      <c r="C16" s="7" t="s">
        <v>28</v>
      </c>
      <c r="D16" s="8" t="s">
        <v>41</v>
      </c>
    </row>
    <row r="17" spans="1:6" ht="18.75" customHeight="1" x14ac:dyDescent="0.15">
      <c r="A17" s="5" t="s">
        <v>42</v>
      </c>
      <c r="B17" s="10">
        <v>0.2</v>
      </c>
      <c r="C17" s="7" t="s">
        <v>28</v>
      </c>
      <c r="D17" s="8" t="s">
        <v>43</v>
      </c>
    </row>
    <row r="18" spans="1:6" ht="18.75" customHeight="1" x14ac:dyDescent="0.15">
      <c r="A18" s="5" t="s">
        <v>44</v>
      </c>
      <c r="B18" s="38">
        <v>0.92349999999999999</v>
      </c>
      <c r="C18" s="7" t="s">
        <v>28</v>
      </c>
      <c r="D18" s="8" t="s">
        <v>45</v>
      </c>
    </row>
    <row r="19" spans="1:6" ht="18.75" customHeight="1" x14ac:dyDescent="0.15">
      <c r="A19" s="5" t="s">
        <v>46</v>
      </c>
      <c r="B19" s="10">
        <v>0.124</v>
      </c>
      <c r="C19" s="7" t="s">
        <v>28</v>
      </c>
      <c r="D19" s="8" t="s">
        <v>47</v>
      </c>
    </row>
    <row r="20" spans="1:6" ht="18.75" customHeight="1" x14ac:dyDescent="0.15">
      <c r="A20" s="5" t="s">
        <v>48</v>
      </c>
      <c r="B20" s="10">
        <v>2.9000000000000001E-2</v>
      </c>
      <c r="C20" s="7" t="s">
        <v>28</v>
      </c>
      <c r="D20" s="8" t="s">
        <v>49</v>
      </c>
    </row>
    <row r="21" spans="1:6" ht="18.75" customHeight="1" x14ac:dyDescent="0.15">
      <c r="A21" s="5" t="s">
        <v>50</v>
      </c>
      <c r="B21" s="10">
        <v>6.2E-2</v>
      </c>
      <c r="C21" s="7" t="s">
        <v>28</v>
      </c>
      <c r="D21" s="8" t="s">
        <v>51</v>
      </c>
    </row>
    <row r="22" spans="1:6" ht="18.75" customHeight="1" x14ac:dyDescent="0.15">
      <c r="A22" s="5" t="s">
        <v>52</v>
      </c>
      <c r="B22" s="10">
        <v>1.4500000000000001E-2</v>
      </c>
      <c r="C22" s="7" t="s">
        <v>28</v>
      </c>
      <c r="D22" s="8" t="s">
        <v>53</v>
      </c>
    </row>
    <row r="23" spans="1:6" ht="18.75" customHeight="1" x14ac:dyDescent="0.15">
      <c r="A23" s="5" t="s">
        <v>54</v>
      </c>
      <c r="B23" s="10">
        <v>8.9999999999999993E-3</v>
      </c>
      <c r="C23" s="7" t="s">
        <v>28</v>
      </c>
      <c r="D23" s="8" t="s">
        <v>55</v>
      </c>
    </row>
    <row r="24" spans="1:6" ht="18.75" customHeight="1" x14ac:dyDescent="0.15">
      <c r="A24" s="5" t="s">
        <v>56</v>
      </c>
      <c r="B24" s="10">
        <v>6.2E-2</v>
      </c>
      <c r="C24" s="7" t="s">
        <v>28</v>
      </c>
      <c r="D24" s="8" t="s">
        <v>57</v>
      </c>
    </row>
    <row r="25" spans="1:6" ht="18.75" customHeight="1" x14ac:dyDescent="0.15">
      <c r="A25" s="5" t="s">
        <v>58</v>
      </c>
      <c r="B25" s="10">
        <v>1.4500000000000001E-2</v>
      </c>
      <c r="C25" s="7" t="s">
        <v>28</v>
      </c>
      <c r="D25" s="8" t="s">
        <v>59</v>
      </c>
    </row>
    <row r="26" spans="1:6" ht="18.75" customHeight="1" x14ac:dyDescent="0.15">
      <c r="A26" s="5" t="s">
        <v>60</v>
      </c>
      <c r="B26" s="9">
        <v>184500</v>
      </c>
      <c r="C26" s="7" t="s">
        <v>28</v>
      </c>
      <c r="D26" s="8" t="s">
        <v>61</v>
      </c>
    </row>
    <row r="27" spans="1:6" ht="18.75" customHeight="1" x14ac:dyDescent="0.15">
      <c r="A27" s="5" t="s">
        <v>62</v>
      </c>
      <c r="B27" s="9">
        <v>200000</v>
      </c>
      <c r="C27" s="7" t="s">
        <v>28</v>
      </c>
      <c r="D27" s="8" t="s">
        <v>63</v>
      </c>
    </row>
    <row r="28" spans="1:6" ht="18.75" customHeight="1" x14ac:dyDescent="0.15">
      <c r="A28" s="5" t="s">
        <v>64</v>
      </c>
      <c r="B28" s="12">
        <v>1.41E-3</v>
      </c>
      <c r="C28" s="7" t="s">
        <v>28</v>
      </c>
      <c r="D28" s="8" t="s">
        <v>65</v>
      </c>
    </row>
    <row r="29" spans="1:6" ht="18.75" customHeight="1" x14ac:dyDescent="0.15">
      <c r="A29" s="5" t="s">
        <v>66</v>
      </c>
      <c r="B29" s="10">
        <v>5.7099999999999998E-2</v>
      </c>
      <c r="C29" s="7" t="s">
        <v>28</v>
      </c>
      <c r="D29" s="8" t="s">
        <v>67</v>
      </c>
    </row>
    <row r="30" spans="1:6" ht="18.75" customHeight="1" x14ac:dyDescent="0.2">
      <c r="A30" s="33" t="s">
        <v>201</v>
      </c>
      <c r="B30" s="34">
        <v>24500</v>
      </c>
      <c r="C30" s="7" t="s">
        <v>28</v>
      </c>
      <c r="D30" s="8" t="s">
        <v>203</v>
      </c>
    </row>
    <row r="31" spans="1:6" ht="18.75" customHeight="1" x14ac:dyDescent="0.2">
      <c r="A31" s="33" t="s">
        <v>202</v>
      </c>
      <c r="B31" s="34">
        <v>72000</v>
      </c>
      <c r="C31" s="7" t="s">
        <v>28</v>
      </c>
      <c r="D31" s="8" t="s">
        <v>203</v>
      </c>
    </row>
    <row r="32" spans="1:6" ht="18.75" customHeight="1" x14ac:dyDescent="0.2">
      <c r="A32" s="33" t="s">
        <v>209</v>
      </c>
      <c r="B32" s="10">
        <v>0.2</v>
      </c>
      <c r="C32" s="7" t="s">
        <v>28</v>
      </c>
      <c r="D32" s="8" t="s">
        <v>203</v>
      </c>
    </row>
    <row r="33" spans="1:10" ht="18.75" customHeight="1" x14ac:dyDescent="0.15">
      <c r="A33" s="22" t="s">
        <v>117</v>
      </c>
      <c r="B33" s="23">
        <v>0</v>
      </c>
      <c r="C33" s="7" t="s">
        <v>28</v>
      </c>
      <c r="D33" s="8" t="s">
        <v>203</v>
      </c>
    </row>
    <row r="34" spans="1:10" ht="18.75" customHeight="1" x14ac:dyDescent="0.15">
      <c r="A34" s="5" t="s">
        <v>68</v>
      </c>
      <c r="B34" s="13">
        <v>201750</v>
      </c>
      <c r="C34" s="14" t="s">
        <v>28</v>
      </c>
      <c r="D34" s="14" t="s">
        <v>69</v>
      </c>
    </row>
    <row r="35" spans="1:10" ht="18.75" customHeight="1" x14ac:dyDescent="0.15">
      <c r="A35" s="5" t="s">
        <v>70</v>
      </c>
      <c r="B35" s="13">
        <v>276750</v>
      </c>
      <c r="C35" s="14" t="s">
        <v>28</v>
      </c>
      <c r="D35" s="14" t="s">
        <v>71</v>
      </c>
    </row>
    <row r="36" spans="1:10" ht="18.75" customHeight="1" x14ac:dyDescent="0.15">
      <c r="A36" s="42" t="s">
        <v>72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ht="18.75" customHeight="1" x14ac:dyDescent="0.15">
      <c r="A37" s="15"/>
      <c r="F37" s="16" t="s">
        <v>73</v>
      </c>
      <c r="G37" s="16" t="s">
        <v>74</v>
      </c>
      <c r="H37" s="16" t="s">
        <v>75</v>
      </c>
      <c r="I37" s="16" t="s">
        <v>76</v>
      </c>
      <c r="J37" s="16" t="s">
        <v>77</v>
      </c>
    </row>
    <row r="38" spans="1:10" ht="18.75" customHeight="1" x14ac:dyDescent="0.2">
      <c r="A38" s="15"/>
      <c r="F38" t="s">
        <v>78</v>
      </c>
      <c r="G38" s="17">
        <v>0</v>
      </c>
      <c r="H38" s="17">
        <v>12400</v>
      </c>
      <c r="I38" s="18">
        <v>0.1</v>
      </c>
      <c r="J38" s="17">
        <v>0</v>
      </c>
    </row>
    <row r="39" spans="1:10" ht="18.75" customHeight="1" x14ac:dyDescent="0.2">
      <c r="A39" s="15"/>
      <c r="F39" t="s">
        <v>79</v>
      </c>
      <c r="G39" s="17">
        <v>12400</v>
      </c>
      <c r="H39" s="17">
        <v>50400</v>
      </c>
      <c r="I39" s="18">
        <v>0.12</v>
      </c>
      <c r="J39" s="19">
        <f t="shared" ref="J39:J44" si="0">J38+(H38-G38)*I38</f>
        <v>1240</v>
      </c>
    </row>
    <row r="40" spans="1:10" ht="18.75" customHeight="1" x14ac:dyDescent="0.2">
      <c r="A40" s="15"/>
      <c r="F40" t="s">
        <v>80</v>
      </c>
      <c r="G40" s="17">
        <v>50400</v>
      </c>
      <c r="H40" s="17">
        <v>105700</v>
      </c>
      <c r="I40" s="18">
        <v>0.22</v>
      </c>
      <c r="J40" s="19">
        <f t="shared" si="0"/>
        <v>5800</v>
      </c>
    </row>
    <row r="41" spans="1:10" ht="18.75" customHeight="1" x14ac:dyDescent="0.2">
      <c r="A41" s="15"/>
      <c r="F41" t="s">
        <v>81</v>
      </c>
      <c r="G41" s="17">
        <v>105700</v>
      </c>
      <c r="H41" s="17">
        <v>201775</v>
      </c>
      <c r="I41" s="18">
        <v>0.24</v>
      </c>
      <c r="J41" s="19">
        <f t="shared" si="0"/>
        <v>17966</v>
      </c>
    </row>
    <row r="42" spans="1:10" ht="18.75" customHeight="1" x14ac:dyDescent="0.2">
      <c r="A42" s="15"/>
      <c r="F42" t="s">
        <v>82</v>
      </c>
      <c r="G42" s="17">
        <v>201775</v>
      </c>
      <c r="H42" s="17">
        <v>256225</v>
      </c>
      <c r="I42" s="18">
        <v>0.32</v>
      </c>
      <c r="J42" s="19">
        <f t="shared" si="0"/>
        <v>41024</v>
      </c>
    </row>
    <row r="43" spans="1:10" ht="18.75" customHeight="1" x14ac:dyDescent="0.2">
      <c r="A43" s="15"/>
      <c r="F43" t="s">
        <v>83</v>
      </c>
      <c r="G43" s="17">
        <v>256225</v>
      </c>
      <c r="H43" s="17">
        <v>640600</v>
      </c>
      <c r="I43" s="18">
        <v>0.35</v>
      </c>
      <c r="J43" s="19">
        <f t="shared" si="0"/>
        <v>58448</v>
      </c>
    </row>
    <row r="44" spans="1:10" ht="18.75" customHeight="1" x14ac:dyDescent="0.2">
      <c r="A44" s="15"/>
      <c r="F44" t="s">
        <v>84</v>
      </c>
      <c r="G44" s="17">
        <v>640600</v>
      </c>
      <c r="H44" s="17">
        <v>1000000000000</v>
      </c>
      <c r="I44" s="18">
        <v>0.37</v>
      </c>
      <c r="J44" s="19">
        <f t="shared" si="0"/>
        <v>192979.25</v>
      </c>
    </row>
  </sheetData>
  <mergeCells count="2">
    <mergeCell ref="A4:D4"/>
    <mergeCell ref="A36:J36"/>
  </mergeCells>
  <phoneticPr fontId="12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showGridLines="0" zoomScaleNormal="100" workbookViewId="0">
      <selection activeCell="A12" sqref="A12"/>
    </sheetView>
  </sheetViews>
  <sheetFormatPr baseColWidth="10" defaultColWidth="8.6640625" defaultRowHeight="15" customHeight="1" x14ac:dyDescent="0.15"/>
  <cols>
    <col min="1" max="1" width="42" customWidth="1"/>
    <col min="2" max="2" width="16" customWidth="1"/>
    <col min="3" max="3" width="9.6640625" bestFit="1" customWidth="1"/>
    <col min="4" max="4" width="22.1640625" bestFit="1" customWidth="1"/>
  </cols>
  <sheetData>
    <row r="1" spans="1:4" ht="18.75" customHeight="1" x14ac:dyDescent="0.2">
      <c r="A1" s="1" t="s">
        <v>190</v>
      </c>
    </row>
    <row r="2" spans="1:4" ht="18.75" customHeight="1" x14ac:dyDescent="0.15">
      <c r="A2" s="2" t="s">
        <v>191</v>
      </c>
    </row>
    <row r="3" spans="1:4" ht="18.75" customHeight="1" x14ac:dyDescent="0.15"/>
    <row r="4" spans="1:4" ht="18.75" customHeight="1" x14ac:dyDescent="0.15">
      <c r="A4" s="42" t="s">
        <v>192</v>
      </c>
      <c r="B4" s="42"/>
      <c r="C4" s="42"/>
      <c r="D4" s="42"/>
    </row>
    <row r="5" spans="1:4" ht="18.75" customHeight="1" x14ac:dyDescent="0.15">
      <c r="A5" s="20" t="s">
        <v>193</v>
      </c>
      <c r="B5" s="16" t="s">
        <v>194</v>
      </c>
      <c r="C5" s="16" t="s">
        <v>195</v>
      </c>
      <c r="D5" s="16" t="s">
        <v>196</v>
      </c>
    </row>
    <row r="6" spans="1:4" ht="18.75" customHeight="1" x14ac:dyDescent="0.15">
      <c r="A6" s="15" t="s">
        <v>197</v>
      </c>
      <c r="B6" s="19">
        <f>SCorp!B71</f>
        <v>16675.684999999998</v>
      </c>
      <c r="C6" s="19">
        <f>LLC_Individual!B65</f>
        <v>0</v>
      </c>
      <c r="D6" s="19">
        <f t="shared" ref="D6:D13" si="0">B6-C6</f>
        <v>16675.684999999998</v>
      </c>
    </row>
    <row r="7" spans="1:4" ht="18.75" customHeight="1" x14ac:dyDescent="0.15">
      <c r="A7" s="15" t="s">
        <v>167</v>
      </c>
      <c r="B7" s="19">
        <f>SCorp!B72</f>
        <v>11234.358</v>
      </c>
      <c r="C7" s="19">
        <f>LLC_Individual!B66</f>
        <v>12280</v>
      </c>
      <c r="D7" s="19">
        <f t="shared" si="0"/>
        <v>-1045.6419999999998</v>
      </c>
    </row>
    <row r="8" spans="1:4" ht="18.75" customHeight="1" x14ac:dyDescent="0.15">
      <c r="A8" s="15" t="s">
        <v>215</v>
      </c>
      <c r="B8" s="19">
        <f>SCorp!B74+SCorp!B73</f>
        <v>13115.219381000001</v>
      </c>
      <c r="C8" s="19">
        <f>LLC_Individual!B67</f>
        <v>14960.000000000002</v>
      </c>
      <c r="D8" s="19">
        <f t="shared" si="0"/>
        <v>-1844.780619000001</v>
      </c>
    </row>
    <row r="9" spans="1:4" ht="18.75" customHeight="1" x14ac:dyDescent="0.15">
      <c r="A9" s="15" t="s">
        <v>216</v>
      </c>
      <c r="B9" s="19">
        <f>SCorp!B75</f>
        <v>7650</v>
      </c>
      <c r="C9" s="19">
        <f>LLC_Individual!B68</f>
        <v>35115.199999999997</v>
      </c>
      <c r="D9" s="19">
        <f t="shared" si="0"/>
        <v>-27465.199999999997</v>
      </c>
    </row>
    <row r="10" spans="1:4" ht="18.75" customHeight="1" x14ac:dyDescent="0.15">
      <c r="A10" t="s">
        <v>217</v>
      </c>
      <c r="B10" s="19">
        <f>SCorp!B76</f>
        <v>57039.916038080009</v>
      </c>
      <c r="C10" s="19">
        <f>LLC_Individual!B69</f>
        <v>68156.895000000004</v>
      </c>
      <c r="D10" s="19">
        <f t="shared" si="0"/>
        <v>-11116.978961919995</v>
      </c>
    </row>
    <row r="11" spans="1:4" ht="18.75" customHeight="1" x14ac:dyDescent="0.15">
      <c r="A11" s="31" t="s">
        <v>218</v>
      </c>
      <c r="B11" s="28">
        <f>SCorp!B77</f>
        <v>89039.493419080012</v>
      </c>
      <c r="C11" s="28">
        <f>LLC_Individual!B70</f>
        <v>130512.095</v>
      </c>
      <c r="D11" s="28">
        <f t="shared" si="0"/>
        <v>-41472.601580919989</v>
      </c>
    </row>
    <row r="12" spans="1:4" ht="18.75" customHeight="1" x14ac:dyDescent="0.15">
      <c r="A12" s="31" t="s">
        <v>172</v>
      </c>
      <c r="B12" s="28">
        <f>SCorp!B78</f>
        <v>237134.82158091999</v>
      </c>
      <c r="C12" s="28">
        <f>LLC_Individual!B71</f>
        <v>197487.905</v>
      </c>
      <c r="D12" s="28">
        <f t="shared" si="0"/>
        <v>39646.916580919991</v>
      </c>
    </row>
    <row r="13" spans="1:4" ht="18.75" customHeight="1" x14ac:dyDescent="0.15">
      <c r="A13" s="31" t="s">
        <v>208</v>
      </c>
      <c r="B13" s="28">
        <f>SCorp!B80</f>
        <v>286634.82158092002</v>
      </c>
      <c r="C13" s="28">
        <f>LLC_Individual!B73</f>
        <v>269487.90500000003</v>
      </c>
      <c r="D13" s="28">
        <f t="shared" si="0"/>
        <v>17146.916580919991</v>
      </c>
    </row>
    <row r="14" spans="1:4" ht="18.75" customHeight="1" x14ac:dyDescent="0.15"/>
    <row r="15" spans="1:4" ht="18.75" customHeight="1" x14ac:dyDescent="0.15"/>
    <row r="16" spans="1:4" ht="18.75" customHeight="1" x14ac:dyDescent="0.15">
      <c r="A16" s="42" t="s">
        <v>90</v>
      </c>
      <c r="B16" s="42"/>
      <c r="C16" s="42"/>
      <c r="D16" s="42"/>
    </row>
    <row r="17" spans="1:1" ht="33.75" customHeight="1" x14ac:dyDescent="0.15">
      <c r="A17" s="32" t="s">
        <v>206</v>
      </c>
    </row>
    <row r="18" spans="1:1" ht="33.75" customHeight="1" x14ac:dyDescent="0.15">
      <c r="A18" s="32" t="s">
        <v>198</v>
      </c>
    </row>
    <row r="19" spans="1:1" ht="33.75" customHeight="1" x14ac:dyDescent="0.15">
      <c r="A19" s="32" t="s">
        <v>199</v>
      </c>
    </row>
    <row r="20" spans="1:1" ht="33.75" customHeight="1" x14ac:dyDescent="0.15">
      <c r="A20" s="32" t="s">
        <v>200</v>
      </c>
    </row>
  </sheetData>
  <mergeCells count="2">
    <mergeCell ref="A4:D4"/>
    <mergeCell ref="A16:D16"/>
  </mergeCells>
  <conditionalFormatting sqref="B12:C13">
    <cfRule type="cellIs" dxfId="0" priority="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0"/>
  <sheetViews>
    <sheetView showGridLines="0" zoomScaleNormal="100" workbookViewId="0">
      <selection activeCell="B33" sqref="B33"/>
    </sheetView>
  </sheetViews>
  <sheetFormatPr baseColWidth="10" defaultColWidth="8.6640625" defaultRowHeight="15" customHeight="1" x14ac:dyDescent="0.15"/>
  <cols>
    <col min="1" max="1" width="38" customWidth="1"/>
    <col min="2" max="2" width="16" customWidth="1"/>
    <col min="4" max="4" width="38" customWidth="1"/>
    <col min="5" max="6" width="16" customWidth="1"/>
  </cols>
  <sheetData>
    <row r="1" spans="1:3" ht="18.75" customHeight="1" x14ac:dyDescent="0.2">
      <c r="A1" s="1" t="s">
        <v>113</v>
      </c>
    </row>
    <row r="2" spans="1:3" ht="18.75" customHeight="1" x14ac:dyDescent="0.15">
      <c r="A2" s="2" t="s">
        <v>114</v>
      </c>
    </row>
    <row r="3" spans="1:3" ht="18.75" customHeight="1" thickBot="1" x14ac:dyDescent="0.2"/>
    <row r="4" spans="1:3" ht="18.75" customHeight="1" thickBot="1" x14ac:dyDescent="0.2">
      <c r="A4" s="42" t="s">
        <v>18</v>
      </c>
      <c r="B4" s="42"/>
      <c r="C4" s="42"/>
    </row>
    <row r="5" spans="1:3" ht="18.75" customHeight="1" x14ac:dyDescent="0.15">
      <c r="A5" s="5" t="s">
        <v>116</v>
      </c>
      <c r="B5" s="36">
        <f>Assumptions!B7</f>
        <v>1000000</v>
      </c>
    </row>
    <row r="6" spans="1:3" ht="18.75" customHeight="1" x14ac:dyDescent="0.15">
      <c r="A6" s="5" t="s">
        <v>118</v>
      </c>
      <c r="B6" s="36">
        <f>Assumptions!B8</f>
        <v>600000</v>
      </c>
    </row>
    <row r="7" spans="1:3" ht="18.75" customHeight="1" x14ac:dyDescent="0.15">
      <c r="A7" s="5" t="s">
        <v>122</v>
      </c>
      <c r="B7" s="36">
        <f>Assumptions!B30</f>
        <v>24500</v>
      </c>
    </row>
    <row r="8" spans="1:3" ht="18.75" customHeight="1" x14ac:dyDescent="0.15">
      <c r="A8" s="11" t="s">
        <v>124</v>
      </c>
      <c r="B8" s="36">
        <f>MIN(0.25*B11,Assumptions!B31-SCorp!B7)</f>
        <v>25000</v>
      </c>
    </row>
    <row r="9" spans="1:3" ht="18.75" customHeight="1" thickBot="1" x14ac:dyDescent="0.2">
      <c r="A9" s="22" t="s">
        <v>117</v>
      </c>
      <c r="B9" s="37">
        <f>Assumptions!B33</f>
        <v>0</v>
      </c>
    </row>
    <row r="10" spans="1:3" ht="18.75" customHeight="1" thickBot="1" x14ac:dyDescent="0.2">
      <c r="A10" s="42" t="s">
        <v>115</v>
      </c>
      <c r="B10" s="42"/>
      <c r="C10" s="42"/>
    </row>
    <row r="11" spans="1:3" ht="18.75" customHeight="1" x14ac:dyDescent="0.15">
      <c r="A11" s="5" t="s">
        <v>120</v>
      </c>
      <c r="B11" s="9">
        <v>100000</v>
      </c>
    </row>
    <row r="12" spans="1:3" ht="18.75" customHeight="1" x14ac:dyDescent="0.15">
      <c r="A12" s="5" t="s">
        <v>125</v>
      </c>
      <c r="B12" s="9">
        <v>0</v>
      </c>
    </row>
    <row r="13" spans="1:3" ht="18.75" customHeight="1" x14ac:dyDescent="0.15">
      <c r="A13" s="5" t="s">
        <v>126</v>
      </c>
      <c r="B13" s="9">
        <v>0</v>
      </c>
    </row>
    <row r="14" spans="1:3" ht="18.75" customHeight="1" thickBot="1" x14ac:dyDescent="0.2">
      <c r="A14" s="11" t="s">
        <v>127</v>
      </c>
      <c r="B14" s="9">
        <v>0</v>
      </c>
    </row>
    <row r="15" spans="1:3" ht="18.75" customHeight="1" thickBot="1" x14ac:dyDescent="0.2">
      <c r="A15" s="42" t="s">
        <v>205</v>
      </c>
      <c r="B15" s="42"/>
      <c r="C15" s="42"/>
    </row>
    <row r="16" spans="1:3" ht="18.75" customHeight="1" x14ac:dyDescent="0.15">
      <c r="A16" s="22" t="s">
        <v>119</v>
      </c>
      <c r="B16" s="13">
        <f>B11</f>
        <v>100000</v>
      </c>
    </row>
    <row r="17" spans="1:3" ht="18.75" customHeight="1" x14ac:dyDescent="0.15">
      <c r="A17" s="22" t="s">
        <v>121</v>
      </c>
      <c r="B17" s="13">
        <v>0</v>
      </c>
    </row>
    <row r="18" spans="1:3" ht="18.75" customHeight="1" thickBot="1" x14ac:dyDescent="0.2">
      <c r="A18" s="22" t="s">
        <v>123</v>
      </c>
      <c r="B18" s="13">
        <v>0</v>
      </c>
    </row>
    <row r="19" spans="1:3" ht="18.75" customHeight="1" thickBot="1" x14ac:dyDescent="0.2">
      <c r="A19" s="42" t="s">
        <v>128</v>
      </c>
      <c r="B19" s="42"/>
      <c r="C19" s="42"/>
    </row>
    <row r="20" spans="1:3" ht="18.75" customHeight="1" x14ac:dyDescent="0.15">
      <c r="A20" s="5" t="s">
        <v>129</v>
      </c>
      <c r="B20" s="24">
        <f>B11-B7</f>
        <v>75500</v>
      </c>
    </row>
    <row r="21" spans="1:3" ht="18.75" customHeight="1" x14ac:dyDescent="0.15">
      <c r="A21" s="5" t="s">
        <v>130</v>
      </c>
      <c r="B21" s="24">
        <f>MIN(B11,Assumptions!$B$26)*Assumptions!$B$24</f>
        <v>6200</v>
      </c>
    </row>
    <row r="22" spans="1:3" ht="18.75" customHeight="1" x14ac:dyDescent="0.15">
      <c r="A22" s="5" t="s">
        <v>131</v>
      </c>
      <c r="B22" s="24">
        <f>B11*Assumptions!$B$25</f>
        <v>1450</v>
      </c>
    </row>
    <row r="23" spans="1:3" ht="18.75" customHeight="1" x14ac:dyDescent="0.15">
      <c r="A23" s="5" t="s">
        <v>132</v>
      </c>
      <c r="B23" s="24">
        <f>SUM(B21:B22)</f>
        <v>7650</v>
      </c>
    </row>
    <row r="24" spans="1:3" ht="18.75" customHeight="1" x14ac:dyDescent="0.15">
      <c r="A24" s="5" t="s">
        <v>133</v>
      </c>
      <c r="B24" s="24">
        <f>B5-B6-B11-B23-B8-B12</f>
        <v>267350</v>
      </c>
    </row>
    <row r="25" spans="1:3" ht="18.75" customHeight="1" x14ac:dyDescent="0.15">
      <c r="A25" s="5" t="s">
        <v>134</v>
      </c>
      <c r="B25" s="24">
        <f>B5*Assumptions!$B$28</f>
        <v>1410</v>
      </c>
    </row>
    <row r="26" spans="1:3" ht="18.75" customHeight="1" x14ac:dyDescent="0.15">
      <c r="A26" s="5" t="s">
        <v>135</v>
      </c>
      <c r="B26" s="24">
        <f>MAX(0,B24)*Assumptions!$B$29</f>
        <v>15265.684999999999</v>
      </c>
    </row>
    <row r="27" spans="1:3" ht="18.75" customHeight="1" x14ac:dyDescent="0.15">
      <c r="A27" s="5" t="s">
        <v>136</v>
      </c>
      <c r="B27" s="24">
        <f>SUM(B25:B26)</f>
        <v>16675.684999999998</v>
      </c>
    </row>
    <row r="28" spans="1:3" ht="18.75" customHeight="1" x14ac:dyDescent="0.15">
      <c r="A28" s="11" t="s">
        <v>137</v>
      </c>
      <c r="B28" s="24">
        <f>B24-B27</f>
        <v>250674.315</v>
      </c>
    </row>
    <row r="29" spans="1:3" ht="18.75" customHeight="1" x14ac:dyDescent="0.15">
      <c r="A29" s="15"/>
    </row>
    <row r="30" spans="1:3" ht="18.75" customHeight="1" x14ac:dyDescent="0.15">
      <c r="A30" s="43" t="s">
        <v>138</v>
      </c>
      <c r="B30" s="43"/>
      <c r="C30" s="43"/>
    </row>
    <row r="31" spans="1:3" ht="18.75" customHeight="1" x14ac:dyDescent="0.15">
      <c r="A31" s="5" t="s">
        <v>139</v>
      </c>
      <c r="B31" s="24">
        <f>B11</f>
        <v>100000</v>
      </c>
    </row>
    <row r="32" spans="1:3" ht="18.75" customHeight="1" x14ac:dyDescent="0.15">
      <c r="A32" s="5" t="s">
        <v>140</v>
      </c>
      <c r="B32" s="24">
        <f>B24-B25</f>
        <v>265940</v>
      </c>
    </row>
    <row r="33" spans="1:3" ht="18.75" customHeight="1" x14ac:dyDescent="0.15">
      <c r="A33" s="5" t="s">
        <v>141</v>
      </c>
      <c r="B33" s="24">
        <f>MAX(0,B31+B32)*Assumptions!$B$10</f>
        <v>11234.358</v>
      </c>
    </row>
    <row r="34" spans="1:3" ht="18.75" customHeight="1" x14ac:dyDescent="0.15">
      <c r="A34" s="5" t="s">
        <v>98</v>
      </c>
      <c r="B34" s="24">
        <f>B11*Assumptions!$B$11</f>
        <v>3740.0000000000005</v>
      </c>
    </row>
    <row r="35" spans="1:3" ht="18.75" customHeight="1" x14ac:dyDescent="0.15">
      <c r="A35" s="5" t="s">
        <v>213</v>
      </c>
      <c r="B35" s="24">
        <f>B28*Assumptions!B13</f>
        <v>9375.2193810000008</v>
      </c>
    </row>
    <row r="36" spans="1:3" ht="18.75" customHeight="1" x14ac:dyDescent="0.15">
      <c r="A36" s="5" t="s">
        <v>101</v>
      </c>
      <c r="B36" s="24">
        <f>0</f>
        <v>0</v>
      </c>
    </row>
    <row r="37" spans="1:3" ht="18.75" customHeight="1" x14ac:dyDescent="0.15">
      <c r="A37" s="5" t="s">
        <v>142</v>
      </c>
      <c r="B37" s="24">
        <f>MIN(B11,Assumptions!$B$26)*Assumptions!$B$21</f>
        <v>6200</v>
      </c>
    </row>
    <row r="38" spans="1:3" ht="18.75" customHeight="1" x14ac:dyDescent="0.15">
      <c r="A38" s="5" t="s">
        <v>143</v>
      </c>
      <c r="B38" s="24">
        <f>B11*Assumptions!$B$22</f>
        <v>1450</v>
      </c>
    </row>
    <row r="39" spans="1:3" ht="18.75" customHeight="1" x14ac:dyDescent="0.15">
      <c r="A39" s="5" t="s">
        <v>144</v>
      </c>
      <c r="B39" s="24">
        <f>MAX(0,B11-Assumptions!$B$27)*Assumptions!$B$23</f>
        <v>0</v>
      </c>
    </row>
    <row r="40" spans="1:3" ht="18.75" customHeight="1" x14ac:dyDescent="0.15">
      <c r="A40" s="5" t="s">
        <v>145</v>
      </c>
      <c r="B40" s="24">
        <f>SUM(B37:B39)</f>
        <v>7650</v>
      </c>
    </row>
    <row r="41" spans="1:3" ht="18.75" customHeight="1" x14ac:dyDescent="0.15">
      <c r="A41" s="15"/>
    </row>
    <row r="42" spans="1:3" ht="18.75" customHeight="1" x14ac:dyDescent="0.15">
      <c r="A42" s="43" t="s">
        <v>146</v>
      </c>
      <c r="B42" s="43"/>
      <c r="C42" s="43"/>
    </row>
    <row r="43" spans="1:3" ht="18.75" customHeight="1" x14ac:dyDescent="0.15">
      <c r="A43" s="5" t="s">
        <v>129</v>
      </c>
      <c r="B43" s="24">
        <f>B20</f>
        <v>75500</v>
      </c>
    </row>
    <row r="44" spans="1:3" ht="18.75" customHeight="1" x14ac:dyDescent="0.15">
      <c r="A44" s="5" t="s">
        <v>147</v>
      </c>
      <c r="B44" s="24">
        <f>B28</f>
        <v>250674.315</v>
      </c>
    </row>
    <row r="45" spans="1:3" ht="18.75" customHeight="1" x14ac:dyDescent="0.15">
      <c r="A45" s="5" t="s">
        <v>148</v>
      </c>
      <c r="B45" s="24">
        <f>B13</f>
        <v>0</v>
      </c>
    </row>
    <row r="46" spans="1:3" ht="18.75" customHeight="1" x14ac:dyDescent="0.15">
      <c r="A46" s="11" t="s">
        <v>149</v>
      </c>
      <c r="B46" s="24">
        <f>SUM(B43:B45)</f>
        <v>326174.315</v>
      </c>
    </row>
    <row r="47" spans="1:3" ht="18.75" customHeight="1" x14ac:dyDescent="0.15">
      <c r="A47" s="5" t="s">
        <v>204</v>
      </c>
      <c r="B47" s="24">
        <f>B33+B34+B35</f>
        <v>24349.577381000003</v>
      </c>
    </row>
    <row r="48" spans="1:3" ht="18.75" customHeight="1" x14ac:dyDescent="0.15">
      <c r="A48" s="5" t="s">
        <v>151</v>
      </c>
      <c r="B48" s="24">
        <f>MAX(Assumptions!$B$16,Assumptions!$B$14-0.3*MAX(0,B46-Assumptions!$B$15))</f>
        <v>40400</v>
      </c>
    </row>
    <row r="49" spans="1:6" ht="18.75" customHeight="1" x14ac:dyDescent="0.15">
      <c r="A49" s="5" t="s">
        <v>152</v>
      </c>
      <c r="B49" s="24">
        <f>MIN(B47,B48)</f>
        <v>24349.577381000003</v>
      </c>
    </row>
    <row r="50" spans="1:6" ht="18.75" customHeight="1" x14ac:dyDescent="0.15">
      <c r="A50" s="5" t="s">
        <v>153</v>
      </c>
      <c r="B50" s="24">
        <f>B49+B14</f>
        <v>24349.577381000003</v>
      </c>
    </row>
    <row r="51" spans="1:6" ht="18.75" customHeight="1" x14ac:dyDescent="0.15">
      <c r="A51" s="5" t="s">
        <v>154</v>
      </c>
      <c r="B51" s="24">
        <f>MAX(B50,Assumptions!$B$9)</f>
        <v>24349.577381000003</v>
      </c>
    </row>
    <row r="52" spans="1:6" ht="18.75" customHeight="1" x14ac:dyDescent="0.15">
      <c r="A52" s="5" t="s">
        <v>155</v>
      </c>
      <c r="B52" s="24">
        <f>MAX(0,B46-B51)</f>
        <v>301824.73761900002</v>
      </c>
    </row>
    <row r="53" spans="1:6" ht="18.75" customHeight="1" x14ac:dyDescent="0.15">
      <c r="A53" s="5" t="s">
        <v>156</v>
      </c>
      <c r="B53" s="35">
        <f>MAX(0,B28)</f>
        <v>250674.315</v>
      </c>
    </row>
    <row r="54" spans="1:6" ht="18.75" customHeight="1" x14ac:dyDescent="0.15">
      <c r="A54" s="5" t="s">
        <v>157</v>
      </c>
      <c r="B54" s="26">
        <f>MAX(0,MIN(1,(B52-Assumptions!$B$34)/(Assumptions!$B$35-Assumptions!$B$34)))</f>
        <v>1</v>
      </c>
    </row>
    <row r="55" spans="1:6" ht="18.75" customHeight="1" x14ac:dyDescent="0.15">
      <c r="A55" s="5" t="s">
        <v>158</v>
      </c>
      <c r="B55" s="25">
        <f>IF(B52&lt;=Assumptions!$B$34,0.2*B53,IF($B$9=1,IF(B52&gt;=Assumptions!$B$35,0,MAX(0,0.2*(B53*(1-B54))-B54*MAX(0,0.2*(B53*(1-B54))-MAX(0.5*($B$16*(1-B54)),0.25*($B$16*(1-B54))+0.025*($B$17*(1-B54)))))),IF(B52&gt;=Assumptions!$B$35,MIN(0.2*B53,MAX(0.5*$B$16,0.25*$B$16+0.025*$B$17)),MAX(0,0.2*B53-B54*MAX(0,0.2*B53-MAX(0.5*$B$16,0.25*$B$16+0.025*$B$17))))))</f>
        <v>50000</v>
      </c>
    </row>
    <row r="56" spans="1:6" ht="18.75" customHeight="1" x14ac:dyDescent="0.15">
      <c r="A56" s="5" t="s">
        <v>159</v>
      </c>
      <c r="B56" s="25">
        <f>MIN(B55,MAX(0,0.2*(B52-$B$18)))</f>
        <v>50000</v>
      </c>
    </row>
    <row r="57" spans="1:6" ht="18.75" customHeight="1" x14ac:dyDescent="0.15">
      <c r="A57" s="5" t="s">
        <v>160</v>
      </c>
      <c r="B57" s="25">
        <f>MAX(0,B52-B56)</f>
        <v>251824.73761900002</v>
      </c>
    </row>
    <row r="58" spans="1:6" ht="18.75" customHeight="1" x14ac:dyDescent="0.15">
      <c r="A58" s="15"/>
    </row>
    <row r="59" spans="1:6" ht="18.75" customHeight="1" x14ac:dyDescent="0.15">
      <c r="A59" s="43" t="s">
        <v>161</v>
      </c>
      <c r="B59" s="43"/>
      <c r="C59" s="43"/>
      <c r="D59" s="43"/>
      <c r="E59" s="43"/>
      <c r="F59" s="43"/>
    </row>
    <row r="60" spans="1:6" ht="18.75" customHeight="1" x14ac:dyDescent="0.15">
      <c r="A60" s="15"/>
      <c r="D60" s="16" t="s">
        <v>73</v>
      </c>
      <c r="E60" s="16" t="s">
        <v>162</v>
      </c>
      <c r="F60" s="16" t="s">
        <v>163</v>
      </c>
    </row>
    <row r="61" spans="1:6" ht="18.75" customHeight="1" x14ac:dyDescent="0.15">
      <c r="A61" s="15"/>
      <c r="D61" t="s">
        <v>78</v>
      </c>
      <c r="E61" s="19">
        <f>MAX(0,MIN($B$57,Assumptions!$H$38)-Assumptions!$G$38)</f>
        <v>12400</v>
      </c>
      <c r="F61" s="19">
        <f>E61*Assumptions!$I$38</f>
        <v>1240</v>
      </c>
    </row>
    <row r="62" spans="1:6" ht="18.75" customHeight="1" x14ac:dyDescent="0.15">
      <c r="A62" s="15"/>
      <c r="D62" t="s">
        <v>79</v>
      </c>
      <c r="E62" s="19">
        <f>MAX(0,MIN($B$57,Assumptions!$H$39)-Assumptions!$G$39)</f>
        <v>38000</v>
      </c>
      <c r="F62" s="19">
        <f>E62*Assumptions!$I$39</f>
        <v>4560</v>
      </c>
    </row>
    <row r="63" spans="1:6" ht="18.75" customHeight="1" x14ac:dyDescent="0.15">
      <c r="A63" s="15"/>
      <c r="D63" t="s">
        <v>80</v>
      </c>
      <c r="E63" s="19">
        <f>MAX(0,MIN($B$57,Assumptions!$H$40)-Assumptions!$G$40)</f>
        <v>55300</v>
      </c>
      <c r="F63" s="19">
        <f>E63*Assumptions!$I$40</f>
        <v>12166</v>
      </c>
    </row>
    <row r="64" spans="1:6" ht="24" customHeight="1" x14ac:dyDescent="0.15">
      <c r="A64" s="15"/>
      <c r="D64" t="s">
        <v>81</v>
      </c>
      <c r="E64" s="19">
        <f>MAX(0,MIN($B$57,Assumptions!$H$41)-Assumptions!$G$41)</f>
        <v>96075</v>
      </c>
      <c r="F64" s="19">
        <f>E64*Assumptions!$I$41</f>
        <v>23058</v>
      </c>
    </row>
    <row r="65" spans="1:6" ht="18.75" customHeight="1" x14ac:dyDescent="0.15">
      <c r="A65" s="15"/>
      <c r="D65" t="s">
        <v>82</v>
      </c>
      <c r="E65" s="19">
        <f>MAX(0,MIN($B$57,Assumptions!$H$42)-Assumptions!$G$42)</f>
        <v>50049.737619000021</v>
      </c>
      <c r="F65" s="19">
        <f>E65*Assumptions!$I$42</f>
        <v>16015.916038080008</v>
      </c>
    </row>
    <row r="66" spans="1:6" ht="18.75" customHeight="1" x14ac:dyDescent="0.15">
      <c r="A66" s="15"/>
      <c r="D66" t="s">
        <v>83</v>
      </c>
      <c r="E66" s="19">
        <f>MAX(0,MIN($B$57,Assumptions!$H$43)-Assumptions!$G$43)</f>
        <v>0</v>
      </c>
      <c r="F66" s="19">
        <f>E66*Assumptions!$I$43</f>
        <v>0</v>
      </c>
    </row>
    <row r="67" spans="1:6" ht="18.75" customHeight="1" x14ac:dyDescent="0.15">
      <c r="A67" s="15"/>
      <c r="D67" t="s">
        <v>84</v>
      </c>
      <c r="E67" s="19">
        <f>MAX(0,MIN($B$57,Assumptions!$H$44)-Assumptions!$G$44)</f>
        <v>0</v>
      </c>
      <c r="F67" s="19">
        <f>E67*Assumptions!$I$44</f>
        <v>0</v>
      </c>
    </row>
    <row r="68" spans="1:6" ht="24" customHeight="1" x14ac:dyDescent="0.15">
      <c r="A68" s="15"/>
      <c r="E68" s="27" t="s">
        <v>164</v>
      </c>
      <c r="F68" s="28">
        <f>SUM(F61:F67)</f>
        <v>57039.916038080009</v>
      </c>
    </row>
    <row r="69" spans="1:6" ht="18.75" customHeight="1" x14ac:dyDescent="0.15">
      <c r="A69" s="15"/>
    </row>
    <row r="70" spans="1:6" ht="18.75" customHeight="1" x14ac:dyDescent="0.15">
      <c r="A70" s="42" t="s">
        <v>165</v>
      </c>
      <c r="B70" s="42"/>
      <c r="C70" s="42"/>
    </row>
    <row r="71" spans="1:6" ht="18.75" customHeight="1" x14ac:dyDescent="0.15">
      <c r="A71" s="39" t="s">
        <v>166</v>
      </c>
      <c r="B71" s="40">
        <f>B27</f>
        <v>16675.684999999998</v>
      </c>
    </row>
    <row r="72" spans="1:6" ht="18.75" customHeight="1" x14ac:dyDescent="0.15">
      <c r="A72" s="5" t="s">
        <v>167</v>
      </c>
      <c r="B72" s="24">
        <f>B33</f>
        <v>11234.358</v>
      </c>
    </row>
    <row r="73" spans="1:6" ht="18.75" customHeight="1" x14ac:dyDescent="0.15">
      <c r="A73" s="11" t="s">
        <v>168</v>
      </c>
      <c r="B73" s="24">
        <f>B34</f>
        <v>3740.0000000000005</v>
      </c>
    </row>
    <row r="74" spans="1:6" ht="18.75" customHeight="1" x14ac:dyDescent="0.15">
      <c r="A74" s="11" t="s">
        <v>214</v>
      </c>
      <c r="B74" s="24">
        <f>B35</f>
        <v>9375.2193810000008</v>
      </c>
    </row>
    <row r="75" spans="1:6" ht="18.75" customHeight="1" x14ac:dyDescent="0.15">
      <c r="A75" s="11" t="s">
        <v>169</v>
      </c>
      <c r="B75" s="24">
        <f>B40</f>
        <v>7650</v>
      </c>
    </row>
    <row r="76" spans="1:6" ht="18.75" customHeight="1" x14ac:dyDescent="0.15">
      <c r="A76" s="11" t="s">
        <v>170</v>
      </c>
      <c r="B76" s="24">
        <f>F68</f>
        <v>57039.916038080009</v>
      </c>
    </row>
    <row r="77" spans="1:6" ht="18.75" customHeight="1" x14ac:dyDescent="0.15">
      <c r="A77" s="29" t="s">
        <v>171</v>
      </c>
      <c r="B77" s="24">
        <f>SUM(B72:B76)</f>
        <v>89039.493419080012</v>
      </c>
    </row>
    <row r="78" spans="1:6" ht="18.75" customHeight="1" x14ac:dyDescent="0.15">
      <c r="A78" s="30" t="s">
        <v>172</v>
      </c>
      <c r="B78" s="24">
        <f>B46-B77</f>
        <v>237134.82158091999</v>
      </c>
    </row>
    <row r="79" spans="1:6" ht="18.75" customHeight="1" x14ac:dyDescent="0.15">
      <c r="A79" s="29" t="s">
        <v>207</v>
      </c>
      <c r="B79" s="24">
        <f>B7+B8</f>
        <v>49500</v>
      </c>
    </row>
    <row r="80" spans="1:6" ht="15" customHeight="1" x14ac:dyDescent="0.15">
      <c r="A80" s="30" t="s">
        <v>208</v>
      </c>
      <c r="B80" s="24">
        <f>B78+B79</f>
        <v>286634.82158092002</v>
      </c>
    </row>
  </sheetData>
  <mergeCells count="8">
    <mergeCell ref="A70:C70"/>
    <mergeCell ref="A4:C4"/>
    <mergeCell ref="A15:C15"/>
    <mergeCell ref="A10:C10"/>
    <mergeCell ref="A19:C19"/>
    <mergeCell ref="A30:C30"/>
    <mergeCell ref="A42:C42"/>
    <mergeCell ref="A59:F5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showGridLines="0" topLeftCell="A41" zoomScale="114" zoomScaleNormal="100" workbookViewId="0">
      <selection activeCell="B72" sqref="B72"/>
    </sheetView>
  </sheetViews>
  <sheetFormatPr baseColWidth="10" defaultColWidth="8.6640625" defaultRowHeight="15" customHeight="1" x14ac:dyDescent="0.15"/>
  <cols>
    <col min="1" max="1" width="40.6640625" customWidth="1"/>
    <col min="2" max="2" width="16" customWidth="1"/>
    <col min="4" max="4" width="38" customWidth="1"/>
    <col min="5" max="6" width="16" customWidth="1"/>
  </cols>
  <sheetData>
    <row r="1" spans="1:3" ht="18.75" customHeight="1" x14ac:dyDescent="0.2">
      <c r="A1" s="1" t="s">
        <v>173</v>
      </c>
    </row>
    <row r="2" spans="1:3" ht="18.75" customHeight="1" x14ac:dyDescent="0.15">
      <c r="A2" s="2" t="s">
        <v>174</v>
      </c>
    </row>
    <row r="3" spans="1:3" ht="18.75" customHeight="1" thickBot="1" x14ac:dyDescent="0.2"/>
    <row r="4" spans="1:3" ht="18.75" customHeight="1" thickBot="1" x14ac:dyDescent="0.2">
      <c r="A4" s="42" t="s">
        <v>18</v>
      </c>
      <c r="B4" s="42"/>
      <c r="C4" s="42"/>
    </row>
    <row r="5" spans="1:3" ht="18.75" customHeight="1" x14ac:dyDescent="0.15">
      <c r="A5" s="5" t="s">
        <v>116</v>
      </c>
      <c r="B5" s="9">
        <f>Assumptions!B7</f>
        <v>1000000</v>
      </c>
    </row>
    <row r="6" spans="1:3" ht="18.75" customHeight="1" x14ac:dyDescent="0.15">
      <c r="A6" s="5" t="s">
        <v>118</v>
      </c>
      <c r="B6" s="9">
        <f>Assumptions!B8</f>
        <v>600000</v>
      </c>
    </row>
    <row r="7" spans="1:3" ht="18.75" customHeight="1" x14ac:dyDescent="0.15">
      <c r="A7" s="5" t="s">
        <v>122</v>
      </c>
      <c r="B7" s="9">
        <f>MIN(Assumptions!B30,MAX(0,B37))</f>
        <v>24500</v>
      </c>
    </row>
    <row r="8" spans="1:3" ht="18.75" customHeight="1" x14ac:dyDescent="0.15">
      <c r="A8" s="11" t="s">
        <v>175</v>
      </c>
      <c r="B8" s="9">
        <f>MIN(Assumptions!B31,(LLC_Individual!B7+(Assumptions!B32*LLC_Individual!B37)))</f>
        <v>72000</v>
      </c>
    </row>
    <row r="9" spans="1:3" ht="18.75" customHeight="1" thickBot="1" x14ac:dyDescent="0.2">
      <c r="A9" s="22" t="s">
        <v>117</v>
      </c>
      <c r="B9" s="23">
        <f>Assumptions!B33</f>
        <v>0</v>
      </c>
    </row>
    <row r="10" spans="1:3" ht="18.75" customHeight="1" thickBot="1" x14ac:dyDescent="0.2">
      <c r="A10" s="42" t="s">
        <v>115</v>
      </c>
      <c r="B10" s="42"/>
      <c r="C10" s="42"/>
    </row>
    <row r="11" spans="1:3" ht="18.75" customHeight="1" x14ac:dyDescent="0.15">
      <c r="A11" s="5" t="s">
        <v>125</v>
      </c>
      <c r="B11" s="9">
        <v>0</v>
      </c>
    </row>
    <row r="12" spans="1:3" ht="18.75" customHeight="1" x14ac:dyDescent="0.15">
      <c r="A12" s="5" t="s">
        <v>126</v>
      </c>
      <c r="B12" s="9">
        <v>0</v>
      </c>
    </row>
    <row r="13" spans="1:3" ht="18.75" customHeight="1" thickBot="1" x14ac:dyDescent="0.2">
      <c r="A13" s="11" t="s">
        <v>127</v>
      </c>
      <c r="B13" s="9">
        <v>0</v>
      </c>
    </row>
    <row r="14" spans="1:3" ht="18.75" customHeight="1" thickBot="1" x14ac:dyDescent="0.2">
      <c r="A14" s="42" t="s">
        <v>205</v>
      </c>
      <c r="B14" s="42"/>
      <c r="C14" s="42"/>
    </row>
    <row r="15" spans="1:3" ht="18.75" customHeight="1" x14ac:dyDescent="0.15">
      <c r="A15" s="22" t="s">
        <v>119</v>
      </c>
      <c r="B15" s="13">
        <v>0</v>
      </c>
    </row>
    <row r="16" spans="1:3" ht="18.75" customHeight="1" x14ac:dyDescent="0.15">
      <c r="A16" s="22" t="s">
        <v>121</v>
      </c>
      <c r="B16" s="13">
        <v>0</v>
      </c>
    </row>
    <row r="17" spans="1:3" ht="18.75" customHeight="1" thickBot="1" x14ac:dyDescent="0.2">
      <c r="A17" s="22" t="s">
        <v>123</v>
      </c>
      <c r="B17" s="13">
        <v>0</v>
      </c>
    </row>
    <row r="18" spans="1:3" ht="18.75" customHeight="1" thickBot="1" x14ac:dyDescent="0.2">
      <c r="A18" s="42" t="s">
        <v>128</v>
      </c>
      <c r="B18" s="42"/>
      <c r="C18" s="42"/>
    </row>
    <row r="19" spans="1:3" ht="18.75" customHeight="1" x14ac:dyDescent="0.15">
      <c r="A19" s="5" t="s">
        <v>133</v>
      </c>
      <c r="B19" s="24">
        <f>B5-B6-B11</f>
        <v>400000</v>
      </c>
    </row>
    <row r="20" spans="1:3" ht="18.75" customHeight="1" x14ac:dyDescent="0.15">
      <c r="A20" s="5" t="s">
        <v>176</v>
      </c>
      <c r="B20" s="24">
        <f>B19</f>
        <v>400000</v>
      </c>
    </row>
    <row r="21" spans="1:3" ht="18.75" customHeight="1" x14ac:dyDescent="0.15"/>
    <row r="22" spans="1:3" ht="18.75" customHeight="1" x14ac:dyDescent="0.15">
      <c r="A22" s="42" t="s">
        <v>177</v>
      </c>
      <c r="B22" s="42"/>
      <c r="C22" s="42"/>
    </row>
    <row r="23" spans="1:3" ht="18.75" customHeight="1" x14ac:dyDescent="0.15">
      <c r="A23" s="5" t="s">
        <v>178</v>
      </c>
      <c r="B23" s="24">
        <f>MAX(0,B20)*Assumptions!$B$18</f>
        <v>369400</v>
      </c>
    </row>
    <row r="24" spans="1:3" ht="18.75" customHeight="1" x14ac:dyDescent="0.15">
      <c r="A24" s="5" t="s">
        <v>179</v>
      </c>
      <c r="B24" s="24">
        <f>MIN(B23,Assumptions!$B$26)*Assumptions!$B$19</f>
        <v>22878</v>
      </c>
    </row>
    <row r="25" spans="1:3" ht="18.75" customHeight="1" x14ac:dyDescent="0.15">
      <c r="A25" s="5" t="s">
        <v>180</v>
      </c>
      <c r="B25" s="24">
        <f>B23*Assumptions!$B$20</f>
        <v>10712.6</v>
      </c>
    </row>
    <row r="26" spans="1:3" ht="18.75" customHeight="1" x14ac:dyDescent="0.15">
      <c r="A26" s="11" t="s">
        <v>181</v>
      </c>
      <c r="B26" s="24">
        <f>MAX(0,B23-Assumptions!$B$27)*Assumptions!$B$23</f>
        <v>1524.6</v>
      </c>
    </row>
    <row r="27" spans="1:3" ht="18.75" customHeight="1" x14ac:dyDescent="0.15">
      <c r="A27" s="5" t="s">
        <v>182</v>
      </c>
      <c r="B27" s="24">
        <f>SUM(B24:B26)</f>
        <v>35115.199999999997</v>
      </c>
    </row>
    <row r="28" spans="1:3" ht="18.75" customHeight="1" x14ac:dyDescent="0.15">
      <c r="A28" s="5" t="s">
        <v>183</v>
      </c>
      <c r="B28" s="24">
        <f>(B24+B25)/2</f>
        <v>16795.3</v>
      </c>
    </row>
    <row r="29" spans="1:3" ht="18.75" customHeight="1" x14ac:dyDescent="0.15">
      <c r="A29" s="15"/>
    </row>
    <row r="30" spans="1:3" ht="18.75" customHeight="1" x14ac:dyDescent="0.15">
      <c r="A30" s="42" t="s">
        <v>184</v>
      </c>
      <c r="B30" s="42"/>
      <c r="C30" s="42"/>
    </row>
    <row r="31" spans="1:3" ht="18.75" customHeight="1" x14ac:dyDescent="0.15">
      <c r="A31" s="5" t="s">
        <v>141</v>
      </c>
      <c r="B31" s="24">
        <f>MAX(0,B20)*Assumptions!$B$10</f>
        <v>12280</v>
      </c>
    </row>
    <row r="32" spans="1:3" ht="18.75" customHeight="1" x14ac:dyDescent="0.15">
      <c r="A32" s="5" t="s">
        <v>101</v>
      </c>
      <c r="B32" s="24">
        <f>MAX(0,B20)*Assumptions!$B$12</f>
        <v>14960.000000000002</v>
      </c>
    </row>
    <row r="33" spans="1:3" ht="18.75" customHeight="1" x14ac:dyDescent="0.15">
      <c r="A33" s="15"/>
    </row>
    <row r="34" spans="1:3" ht="18.75" customHeight="1" x14ac:dyDescent="0.15">
      <c r="A34" s="43" t="s">
        <v>146</v>
      </c>
      <c r="B34" s="43"/>
      <c r="C34" s="43"/>
    </row>
    <row r="35" spans="1:3" ht="18.75" customHeight="1" x14ac:dyDescent="0.15">
      <c r="A35" s="5" t="s">
        <v>185</v>
      </c>
      <c r="B35" s="24">
        <f>B20</f>
        <v>400000</v>
      </c>
    </row>
    <row r="36" spans="1:3" ht="18.75" customHeight="1" x14ac:dyDescent="0.15">
      <c r="A36" s="5" t="s">
        <v>186</v>
      </c>
      <c r="B36" s="24">
        <f>B28</f>
        <v>16795.3</v>
      </c>
    </row>
    <row r="37" spans="1:3" ht="18.75" customHeight="1" x14ac:dyDescent="0.15">
      <c r="A37" s="5" t="s">
        <v>210</v>
      </c>
      <c r="B37" s="24">
        <f>B35-B36</f>
        <v>383204.7</v>
      </c>
    </row>
    <row r="38" spans="1:3" ht="18.75" customHeight="1" x14ac:dyDescent="0.15">
      <c r="A38" s="5" t="s">
        <v>187</v>
      </c>
      <c r="B38" s="24">
        <f>B8</f>
        <v>72000</v>
      </c>
    </row>
    <row r="39" spans="1:3" ht="18.75" customHeight="1" x14ac:dyDescent="0.15">
      <c r="A39" s="5" t="s">
        <v>148</v>
      </c>
      <c r="B39" s="24">
        <f>B12</f>
        <v>0</v>
      </c>
    </row>
    <row r="40" spans="1:3" ht="18.75" customHeight="1" x14ac:dyDescent="0.15">
      <c r="A40" s="11" t="s">
        <v>149</v>
      </c>
      <c r="B40" s="24">
        <f>B37-B38+B39</f>
        <v>311204.7</v>
      </c>
    </row>
    <row r="41" spans="1:3" ht="18.75" customHeight="1" x14ac:dyDescent="0.15">
      <c r="A41" s="5" t="s">
        <v>150</v>
      </c>
      <c r="B41" s="24">
        <f>B31+B32</f>
        <v>27240</v>
      </c>
    </row>
    <row r="42" spans="1:3" ht="18.75" customHeight="1" x14ac:dyDescent="0.15">
      <c r="A42" s="5" t="s">
        <v>151</v>
      </c>
      <c r="B42" s="24">
        <f>MAX(Assumptions!$B$16,Assumptions!$B$14-0.3*MAX(0,B40-Assumptions!$B$15))</f>
        <v>40400</v>
      </c>
    </row>
    <row r="43" spans="1:3" ht="18.75" customHeight="1" x14ac:dyDescent="0.15">
      <c r="A43" s="5" t="s">
        <v>152</v>
      </c>
      <c r="B43" s="24">
        <f>MIN(B41,B42)</f>
        <v>27240</v>
      </c>
    </row>
    <row r="44" spans="1:3" ht="18.75" customHeight="1" x14ac:dyDescent="0.15">
      <c r="A44" s="5" t="s">
        <v>153</v>
      </c>
      <c r="B44" s="24">
        <f>B43+B13</f>
        <v>27240</v>
      </c>
    </row>
    <row r="45" spans="1:3" ht="18.75" customHeight="1" x14ac:dyDescent="0.15">
      <c r="A45" s="5" t="s">
        <v>154</v>
      </c>
      <c r="B45" s="24">
        <f>MAX(B44,Assumptions!$B$9)</f>
        <v>27240</v>
      </c>
    </row>
    <row r="46" spans="1:3" ht="18.75" customHeight="1" x14ac:dyDescent="0.15">
      <c r="A46" s="5" t="s">
        <v>155</v>
      </c>
      <c r="B46" s="24">
        <f>MAX(0,B40-B45)</f>
        <v>283964.7</v>
      </c>
    </row>
    <row r="47" spans="1:3" ht="18.75" customHeight="1" x14ac:dyDescent="0.15">
      <c r="A47" s="5" t="s">
        <v>156</v>
      </c>
      <c r="B47" s="35">
        <f>MAX(0,B20-B28-B8)</f>
        <v>311204.7</v>
      </c>
    </row>
    <row r="48" spans="1:3" ht="18.75" customHeight="1" x14ac:dyDescent="0.15">
      <c r="A48" s="5" t="s">
        <v>157</v>
      </c>
      <c r="B48" s="26">
        <f>MAX(0,MIN(1,(B46-Assumptions!$B$34)/(Assumptions!$B$35-Assumptions!$B$34)))</f>
        <v>1</v>
      </c>
    </row>
    <row r="49" spans="1:6" ht="18.75" customHeight="1" x14ac:dyDescent="0.15">
      <c r="A49" s="5" t="s">
        <v>158</v>
      </c>
      <c r="B49" s="25">
        <f>IF(B46&lt;=Assumptions!$B$34,0.2*B47,IF($B$9=1,IF(B46&gt;=Assumptions!$B$35,0,MAX(0,0.2*(B47*(1-B48))-B48*MAX(0,0.2*(B47*(1-B48))-MAX(0.5*($B$15*(1-B48)),0.25*($B$15*(1-B48))+0.025*($B$16*(1-B48)))))),IF(B46&gt;=Assumptions!$B$35,MIN(0.2*B47,MAX(0.5*$B$15,0.25*$B$15+0.025*$B$16)),MAX(0,0.2*B47-B48*MAX(0,0.2*B47-MAX(0.5*$B$15,0.25*$B$15+0.025*$B$16))))))</f>
        <v>0</v>
      </c>
    </row>
    <row r="50" spans="1:6" ht="18.75" customHeight="1" x14ac:dyDescent="0.15">
      <c r="A50" s="5" t="s">
        <v>159</v>
      </c>
      <c r="B50" s="25">
        <f>MIN(B49,MAX(0,0.2*(B46-$B$17)))</f>
        <v>0</v>
      </c>
    </row>
    <row r="51" spans="1:6" ht="18.75" customHeight="1" x14ac:dyDescent="0.15">
      <c r="A51" s="5" t="s">
        <v>160</v>
      </c>
      <c r="B51" s="25">
        <f>MAX(0,B46-B50)</f>
        <v>283964.7</v>
      </c>
    </row>
    <row r="52" spans="1:6" ht="18.75" customHeight="1" x14ac:dyDescent="0.15">
      <c r="A52" s="15"/>
    </row>
    <row r="53" spans="1:6" ht="18.75" customHeight="1" x14ac:dyDescent="0.15">
      <c r="A53" s="43" t="s">
        <v>161</v>
      </c>
      <c r="B53" s="43"/>
      <c r="C53" s="43"/>
      <c r="D53" s="43"/>
      <c r="E53" s="43"/>
      <c r="F53" s="43"/>
    </row>
    <row r="54" spans="1:6" ht="18.75" customHeight="1" x14ac:dyDescent="0.15">
      <c r="A54" s="15"/>
      <c r="D54" s="16" t="s">
        <v>73</v>
      </c>
      <c r="E54" s="16" t="s">
        <v>162</v>
      </c>
      <c r="F54" s="16" t="s">
        <v>163</v>
      </c>
    </row>
    <row r="55" spans="1:6" ht="18.75" customHeight="1" x14ac:dyDescent="0.15">
      <c r="A55" s="15"/>
      <c r="D55" t="s">
        <v>78</v>
      </c>
      <c r="E55" s="19">
        <f>MAX(0,MIN($B$51,Assumptions!$H$38)-Assumptions!$G$38)</f>
        <v>12400</v>
      </c>
      <c r="F55" s="19">
        <f>E55*Assumptions!$I$38</f>
        <v>1240</v>
      </c>
    </row>
    <row r="56" spans="1:6" ht="18.75" customHeight="1" x14ac:dyDescent="0.15">
      <c r="A56" s="15"/>
      <c r="D56" t="s">
        <v>79</v>
      </c>
      <c r="E56" s="19">
        <f>MAX(0,MIN($B$51,Assumptions!$H$39)-Assumptions!$G$39)</f>
        <v>38000</v>
      </c>
      <c r="F56" s="19">
        <f>E56*Assumptions!$I$39</f>
        <v>4560</v>
      </c>
    </row>
    <row r="57" spans="1:6" ht="18.75" customHeight="1" x14ac:dyDescent="0.15">
      <c r="A57" s="15"/>
      <c r="D57" t="s">
        <v>80</v>
      </c>
      <c r="E57" s="19">
        <f>MAX(0,MIN($B$51,Assumptions!$H$40)-Assumptions!$G$40)</f>
        <v>55300</v>
      </c>
      <c r="F57" s="19">
        <f>E57*Assumptions!$I$40</f>
        <v>12166</v>
      </c>
    </row>
    <row r="58" spans="1:6" ht="18.75" customHeight="1" x14ac:dyDescent="0.15">
      <c r="A58" s="15"/>
      <c r="D58" t="s">
        <v>81</v>
      </c>
      <c r="E58" s="19">
        <f>MAX(0,MIN($B$51,Assumptions!$H$41)-Assumptions!$G$41)</f>
        <v>96075</v>
      </c>
      <c r="F58" s="19">
        <f>E58*Assumptions!$I$41</f>
        <v>23058</v>
      </c>
    </row>
    <row r="59" spans="1:6" ht="18.75" customHeight="1" x14ac:dyDescent="0.15">
      <c r="A59" s="15"/>
      <c r="D59" t="s">
        <v>82</v>
      </c>
      <c r="E59" s="19">
        <f>MAX(0,MIN($B$51,Assumptions!$H$42)-Assumptions!$G$42)</f>
        <v>54450</v>
      </c>
      <c r="F59" s="19">
        <f>E59*Assumptions!$I$42</f>
        <v>17424</v>
      </c>
    </row>
    <row r="60" spans="1:6" ht="18.75" customHeight="1" x14ac:dyDescent="0.15">
      <c r="A60" s="15"/>
      <c r="D60" t="s">
        <v>83</v>
      </c>
      <c r="E60" s="19">
        <f>MAX(0,MIN($B$51,Assumptions!$H$43)-Assumptions!$G$43)</f>
        <v>27739.700000000012</v>
      </c>
      <c r="F60" s="19">
        <f>E60*Assumptions!$I$43</f>
        <v>9708.8950000000041</v>
      </c>
    </row>
    <row r="61" spans="1:6" ht="18.75" customHeight="1" x14ac:dyDescent="0.15">
      <c r="A61" s="15"/>
      <c r="D61" t="s">
        <v>84</v>
      </c>
      <c r="E61" s="19">
        <f>MAX(0,MIN($B$51,Assumptions!$H$44)-Assumptions!$G$44)</f>
        <v>0</v>
      </c>
      <c r="F61" s="19">
        <f>E61*Assumptions!$I$44</f>
        <v>0</v>
      </c>
    </row>
    <row r="62" spans="1:6" ht="24" customHeight="1" x14ac:dyDescent="0.15">
      <c r="A62" s="15"/>
      <c r="E62" s="27" t="s">
        <v>164</v>
      </c>
      <c r="F62" s="28">
        <f>SUM(F55:F61)</f>
        <v>68156.895000000004</v>
      </c>
    </row>
    <row r="63" spans="1:6" ht="18.75" customHeight="1" x14ac:dyDescent="0.15">
      <c r="A63" s="15"/>
    </row>
    <row r="64" spans="1:6" ht="18.75" customHeight="1" thickBot="1" x14ac:dyDescent="0.2">
      <c r="A64" s="42" t="s">
        <v>165</v>
      </c>
      <c r="B64" s="42"/>
      <c r="C64" s="42"/>
    </row>
    <row r="65" spans="1:2" ht="18.75" customHeight="1" x14ac:dyDescent="0.15">
      <c r="A65" s="5" t="s">
        <v>166</v>
      </c>
      <c r="B65" s="24">
        <v>0</v>
      </c>
    </row>
    <row r="66" spans="1:2" ht="24" customHeight="1" x14ac:dyDescent="0.15">
      <c r="A66" s="5" t="s">
        <v>167</v>
      </c>
      <c r="B66" s="24">
        <f>B31</f>
        <v>12280</v>
      </c>
    </row>
    <row r="67" spans="1:2" ht="18.75" customHeight="1" x14ac:dyDescent="0.15">
      <c r="A67" s="11" t="s">
        <v>188</v>
      </c>
      <c r="B67" s="24">
        <f>B32</f>
        <v>14960.000000000002</v>
      </c>
    </row>
    <row r="68" spans="1:2" ht="18.75" customHeight="1" x14ac:dyDescent="0.15">
      <c r="A68" s="11" t="s">
        <v>189</v>
      </c>
      <c r="B68" s="24">
        <f>B27</f>
        <v>35115.199999999997</v>
      </c>
    </row>
    <row r="69" spans="1:2" ht="18.75" customHeight="1" x14ac:dyDescent="0.15">
      <c r="A69" s="11" t="s">
        <v>170</v>
      </c>
      <c r="B69" s="24">
        <f>F62</f>
        <v>68156.895000000004</v>
      </c>
    </row>
    <row r="70" spans="1:2" ht="18.75" customHeight="1" x14ac:dyDescent="0.15">
      <c r="A70" s="29" t="s">
        <v>171</v>
      </c>
      <c r="B70" s="24">
        <f>SUM(B66:B69)</f>
        <v>130512.095</v>
      </c>
    </row>
    <row r="71" spans="1:2" ht="18.75" customHeight="1" x14ac:dyDescent="0.15">
      <c r="A71" s="30" t="s">
        <v>172</v>
      </c>
      <c r="B71" s="24">
        <f>B35-B38-B70</f>
        <v>197487.905</v>
      </c>
    </row>
    <row r="72" spans="1:2" ht="18.75" customHeight="1" x14ac:dyDescent="0.15">
      <c r="A72" s="29" t="s">
        <v>207</v>
      </c>
      <c r="B72" s="24">
        <f>B8</f>
        <v>72000</v>
      </c>
    </row>
    <row r="73" spans="1:2" ht="15" customHeight="1" x14ac:dyDescent="0.15">
      <c r="A73" s="30" t="s">
        <v>208</v>
      </c>
      <c r="B73" s="24">
        <f>B71+B72</f>
        <v>269487.90500000003</v>
      </c>
    </row>
  </sheetData>
  <mergeCells count="9">
    <mergeCell ref="A53:F53"/>
    <mergeCell ref="A64:C64"/>
    <mergeCell ref="A4:C4"/>
    <mergeCell ref="A14:C14"/>
    <mergeCell ref="A10:C10"/>
    <mergeCell ref="A18:C18"/>
    <mergeCell ref="A22:C22"/>
    <mergeCell ref="A30:C30"/>
    <mergeCell ref="A34:C3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zoomScaleNormal="100" workbookViewId="0"/>
  </sheetViews>
  <sheetFormatPr baseColWidth="10" defaultColWidth="8.6640625" defaultRowHeight="15" customHeight="1" x14ac:dyDescent="0.15"/>
  <cols>
    <col min="1" max="1" width="28" customWidth="1"/>
    <col min="2" max="2" width="92" customWidth="1"/>
    <col min="3" max="3" width="14" customWidth="1"/>
    <col min="4" max="4" width="44" customWidth="1"/>
  </cols>
  <sheetData>
    <row r="1" spans="1:4" ht="18.75" customHeight="1" x14ac:dyDescent="0.2">
      <c r="A1" s="1" t="s">
        <v>85</v>
      </c>
    </row>
    <row r="2" spans="1:4" ht="18.75" customHeight="1" x14ac:dyDescent="0.15">
      <c r="A2" s="2" t="s">
        <v>86</v>
      </c>
    </row>
    <row r="3" spans="1:4" ht="18.75" customHeight="1" x14ac:dyDescent="0.15"/>
    <row r="4" spans="1:4" ht="18.75" customHeight="1" x14ac:dyDescent="0.15">
      <c r="A4" s="20" t="s">
        <v>87</v>
      </c>
      <c r="B4" s="21" t="s">
        <v>88</v>
      </c>
      <c r="C4" s="21" t="s">
        <v>89</v>
      </c>
      <c r="D4" s="21" t="s">
        <v>90</v>
      </c>
    </row>
    <row r="5" spans="1:4" ht="18.75" customHeight="1" x14ac:dyDescent="0.15">
      <c r="A5" s="5" t="s">
        <v>91</v>
      </c>
      <c r="B5" s="11" t="s">
        <v>92</v>
      </c>
      <c r="C5" s="5" t="s">
        <v>93</v>
      </c>
      <c r="D5" s="11" t="s">
        <v>94</v>
      </c>
    </row>
    <row r="6" spans="1:4" ht="18.75" customHeight="1" x14ac:dyDescent="0.15">
      <c r="A6" s="5" t="s">
        <v>95</v>
      </c>
      <c r="B6" s="11" t="s">
        <v>96</v>
      </c>
      <c r="C6" s="5" t="s">
        <v>93</v>
      </c>
      <c r="D6" s="11" t="s">
        <v>97</v>
      </c>
    </row>
    <row r="7" spans="1:4" ht="18.75" customHeight="1" x14ac:dyDescent="0.15">
      <c r="A7" s="5" t="s">
        <v>98</v>
      </c>
      <c r="B7" s="11" t="s">
        <v>99</v>
      </c>
      <c r="C7" s="5" t="s">
        <v>93</v>
      </c>
      <c r="D7" s="11" t="s">
        <v>100</v>
      </c>
    </row>
    <row r="8" spans="1:4" ht="18.75" customHeight="1" x14ac:dyDescent="0.15">
      <c r="A8" s="5" t="s">
        <v>101</v>
      </c>
      <c r="B8" s="11" t="s">
        <v>102</v>
      </c>
      <c r="C8" s="5" t="s">
        <v>93</v>
      </c>
      <c r="D8" s="11" t="s">
        <v>103</v>
      </c>
    </row>
    <row r="9" spans="1:4" ht="18.75" customHeight="1" x14ac:dyDescent="0.15">
      <c r="A9" s="5" t="s">
        <v>104</v>
      </c>
      <c r="B9" s="11" t="s">
        <v>105</v>
      </c>
      <c r="C9" s="5" t="s">
        <v>93</v>
      </c>
      <c r="D9" s="11" t="s">
        <v>106</v>
      </c>
    </row>
    <row r="10" spans="1:4" ht="18.75" customHeight="1" x14ac:dyDescent="0.15">
      <c r="A10" s="5" t="s">
        <v>107</v>
      </c>
      <c r="B10" s="11" t="s">
        <v>108</v>
      </c>
      <c r="C10" s="5" t="s">
        <v>93</v>
      </c>
      <c r="D10" s="11" t="s">
        <v>109</v>
      </c>
    </row>
    <row r="11" spans="1:4" ht="18.75" customHeight="1" x14ac:dyDescent="0.15">
      <c r="A11" s="5" t="s">
        <v>110</v>
      </c>
      <c r="B11" s="11" t="s">
        <v>111</v>
      </c>
      <c r="C11" s="5" t="s">
        <v>93</v>
      </c>
      <c r="D11" s="11" t="s">
        <v>112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Assumptions</vt:lpstr>
      <vt:lpstr>Compare</vt:lpstr>
      <vt:lpstr>SCorp</vt:lpstr>
      <vt:lpstr>LLC_Individual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Jigar  Mehta</cp:lastModifiedBy>
  <dcterms:created xsi:type="dcterms:W3CDTF">2026-04-06T20:04:56Z</dcterms:created>
  <dcterms:modified xsi:type="dcterms:W3CDTF">2026-04-07T22:57:32Z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2026-04-06T15:44:42Z</dcterms:created>
  <dc:creator>openpyxl</dc:creator>
  <dc:description/>
  <dc:language>en-US</dc:language>
  <cp:lastModifiedBy/>
  <dcterms:modified xsi:type="dcterms:W3CDTF">2026-04-06T15:44:42Z</dcterms:modified>
  <cp:revision>0</cp:revision>
  <dc:subject/>
  <dc:title/>
</cp:coreProperties>
</file>